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esktop\STREAMLIT WEB\ANALISIS INSUMOS\"/>
    </mc:Choice>
  </mc:AlternateContent>
  <xr:revisionPtr revIDLastSave="0" documentId="13_ncr:1_{14A2C405-BA56-4A9F-84AE-ECEF6CF6AFF3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2023-2024" sheetId="1" r:id="rId1"/>
    <sheet name="2025" sheetId="2" r:id="rId2"/>
    <sheet name="2026" sheetId="3" r:id="rId3"/>
    <sheet name="README_PowerBI" sheetId="4" r:id="rId4"/>
    <sheet name="Fact_Solped_PB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3" l="1"/>
  <c r="D13" i="3"/>
  <c r="G11" i="3"/>
  <c r="G13" i="3" s="1"/>
  <c r="F11" i="3"/>
  <c r="F13" i="3" s="1"/>
  <c r="E11" i="3"/>
  <c r="E13" i="3" s="1"/>
  <c r="D11" i="3"/>
  <c r="O13" i="2"/>
  <c r="N13" i="2"/>
  <c r="M13" i="2"/>
  <c r="L13" i="2"/>
  <c r="K13" i="2"/>
  <c r="H13" i="2"/>
  <c r="G13" i="2"/>
  <c r="F13" i="2"/>
  <c r="E13" i="2"/>
  <c r="D13" i="2"/>
  <c r="P12" i="2"/>
  <c r="P17" i="2" s="1"/>
  <c r="O11" i="2"/>
  <c r="N11" i="2"/>
  <c r="M11" i="2"/>
  <c r="L11" i="2"/>
  <c r="K11" i="2"/>
  <c r="J11" i="2"/>
  <c r="J13" i="2" s="1"/>
  <c r="I11" i="2"/>
  <c r="I13" i="2" s="1"/>
  <c r="H11" i="2"/>
  <c r="G11" i="2"/>
  <c r="F11" i="2"/>
  <c r="E11" i="2"/>
  <c r="D11" i="2"/>
  <c r="P11" i="2" s="1"/>
  <c r="P13" i="2" l="1"/>
</calcChain>
</file>

<file path=xl/sharedStrings.xml><?xml version="1.0" encoding="utf-8"?>
<sst xmlns="http://schemas.openxmlformats.org/spreadsheetml/2006/main" count="430" uniqueCount="71">
  <si>
    <t>GENERACIÓN DE RESIDUOS</t>
  </si>
  <si>
    <t>MES</t>
  </si>
  <si>
    <t>CENIZA</t>
  </si>
  <si>
    <t>ESCORIA</t>
  </si>
  <si>
    <t>VERTEDERO</t>
  </si>
  <si>
    <t>CORTEZA GRADO 3</t>
  </si>
  <si>
    <t xml:space="preserve">Enero </t>
  </si>
  <si>
    <t xml:space="preserve">Febrero 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</si>
  <si>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</si>
  <si>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</si>
  <si>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</si>
  <si>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</si>
  <si>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</si>
  <si>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</si>
  <si>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</si>
  <si>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</si>
  <si>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</si>
  <si>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</si>
  <si>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CONTROL SOLPED 2025</t>
  </si>
  <si>
    <t>AREA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</si>
  <si>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</si>
  <si>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</si>
  <si>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</si>
  <si>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</si>
  <si>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</si>
  <si>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</si>
  <si>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</si>
  <si>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</si>
  <si>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</si>
  <si>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</si>
  <si>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</si>
  <si>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</si>
  <si>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Aseo</t>
  </si>
  <si>
    <t>Epp</t>
  </si>
  <si>
    <t>Ferreteria</t>
  </si>
  <si>
    <t>Librería</t>
  </si>
  <si>
    <t>Papel</t>
  </si>
  <si>
    <t>Gasto anual</t>
  </si>
  <si>
    <t>Presupuesto anual</t>
  </si>
  <si>
    <t>Ahorro presupuestario</t>
  </si>
  <si>
    <t>Presupuesto mensual $3.728.742</t>
  </si>
  <si>
    <t>Gasto mensual</t>
  </si>
  <si>
    <t>CONTROL SOLPED 2026</t>
  </si>
  <si>
    <t>Archivo preparado para Power BI</t>
  </si>
  <si>
    <t>Uso recomendado</t>
  </si>
  <si>
    <t>Cargar las hojas que comienzan con Fact_ y la hoja Dim_Mes.</t>
  </si>
  <si>
    <t>Fact_Solped_PBI</t>
  </si>
  <si>
    <t>Gastos reales por año, mes y área en formato largo.</t>
  </si>
  <si>
    <t>Fact_Presupuesto_PBI</t>
  </si>
  <si>
    <t>Presupuesto mensual por año y mes.</t>
  </si>
  <si>
    <t>Fact_Residuos_PBI</t>
  </si>
  <si>
    <t>Generación de residuos por año, mes y tipo de residuo.</t>
  </si>
  <si>
    <t>Dim_Mes</t>
  </si>
  <si>
    <t>Tabla de meses para ordenar correctamente los nombres de mes.</t>
  </si>
  <si>
    <t>Relaciones sugeridas</t>
  </si>
  <si>
    <t>Relacionar Mes_Nro con Dim_Mes[Mes_Nro]. Para análisis por fecha, usar Fecha_Mes.</t>
  </si>
  <si>
    <t>Medidas sugeridas</t>
  </si>
  <si>
    <t>Gasto Total = SUM(Fact_Solped_PBI[Monto_CLP]); Presupuesto = SUM(Fact_Presupuesto_PBI[Presupuesto_CLP]); Ahorro = [Presupuesto] - [Gasto Total].</t>
  </si>
  <si>
    <t>Nota</t>
  </si>
  <si>
    <t>Se mantuvieron las hojas originales y se agregaron hojas limpias para Power BI.</t>
  </si>
  <si>
    <t>Año</t>
  </si>
  <si>
    <t>Mes</t>
  </si>
  <si>
    <t>Fecha_Mes</t>
  </si>
  <si>
    <t>Área</t>
  </si>
  <si>
    <t>Monto_CLP</t>
  </si>
  <si>
    <t>Tipo</t>
  </si>
  <si>
    <t>Enero</t>
  </si>
  <si>
    <t>Gasto</t>
  </si>
  <si>
    <t>EPP</t>
  </si>
  <si>
    <t>Ferretería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</si>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</sst>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yyyy\-mm\-dd"/>
    <numFmt numFmtId="165" formatCode="\$#,##0"/>
  </numFmts>
  <fonts count="14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20"/>
      <color theme="1"/>
      <name val="Calibri"/>
      <family val="2"/>
    </font>
    <font>
      <sz val="20"/>
      <color theme="1"/>
      <name val="Calibri"/>
      <family val="2"/>
    </font>
    <font>
      <b/>
      <sz val="36"/>
      <color theme="1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6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sz val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FF00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0"/>
      </patternFill>
    </fill>
    <fill>
      <patternFill patternType="solid">
        <fgColor indexed="9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42" fontId="8" fillId="0" borderId="0" applyFont="0" applyFill="0" applyBorder="0" applyAlignment="0" applyProtection="0"/>
  </cellStyleXfs>
  <cellXfs count="54">
    <xf numFmtId="0" fontId="0" fillId="0" borderId="0" xfId="0"/>
    <xf numFmtId="0" fontId="0" fillId="4" borderId="3" xfId="0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5" xfId="0" applyFill="1" applyBorder="1"/>
    <xf numFmtId="0" fontId="4" fillId="0" borderId="0" xfId="0" applyFont="1"/>
    <xf numFmtId="0" fontId="7" fillId="7" borderId="0" xfId="1" applyFont="1" applyFill="1" applyAlignment="1">
      <alignment horizontal="center"/>
    </xf>
    <xf numFmtId="0" fontId="7" fillId="8" borderId="0" xfId="1" applyFont="1" applyFill="1"/>
    <xf numFmtId="3" fontId="4" fillId="0" borderId="0" xfId="0" applyNumberFormat="1" applyFont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42" fontId="10" fillId="0" borderId="3" xfId="2" applyFont="1" applyBorder="1" applyAlignment="1">
      <alignment horizontal="center" vertical="center"/>
    </xf>
    <xf numFmtId="42" fontId="10" fillId="0" borderId="6" xfId="2" applyFont="1" applyBorder="1" applyAlignment="1">
      <alignment horizontal="center" vertical="center"/>
    </xf>
    <xf numFmtId="42" fontId="10" fillId="4" borderId="6" xfId="2" applyFont="1" applyFill="1" applyBorder="1" applyAlignment="1">
      <alignment horizontal="center" vertical="center"/>
    </xf>
    <xf numFmtId="42" fontId="10" fillId="0" borderId="0" xfId="2" applyFont="1"/>
    <xf numFmtId="42" fontId="10" fillId="6" borderId="6" xfId="2" applyFont="1" applyFill="1" applyBorder="1"/>
    <xf numFmtId="42" fontId="0" fillId="0" borderId="0" xfId="0" applyNumberFormat="1"/>
    <xf numFmtId="42" fontId="9" fillId="0" borderId="0" xfId="0" applyNumberFormat="1" applyFont="1"/>
    <xf numFmtId="0" fontId="11" fillId="10" borderId="0" xfId="0" applyFont="1" applyFill="1" applyAlignment="1">
      <alignment horizontal="center" vertical="center"/>
    </xf>
    <xf numFmtId="0" fontId="1" fillId="0" borderId="0" xfId="0" applyFont="1"/>
    <xf numFmtId="0" fontId="12" fillId="10" borderId="0" xfId="0" applyFont="1" applyFill="1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 wrapText="1"/>
    </xf>
    <xf numFmtId="0" fontId="4" fillId="9" borderId="6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left"/>
    </xf>
    <xf numFmtId="0" fontId="5" fillId="3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42" fontId="0" fillId="11" borderId="0" xfId="2" applyFont="1" applyFill="1"/>
  </cellXfs>
  <cellStyles count="3">
    <cellStyle name="Moneda [0]" xfId="2" xr:uid="{00000000-0005-0000-0000-000000000000}"/>
    <cellStyle name="Normal" xfId="0" builtinId="0"/>
    <cellStyle name="Normal 2_Xl0000003_Planilla de cobro aserrindic" xfId="1" xr:uid="{00000000-0005-0000-0000-000002000000}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600" b="1" i="0" u="none">
                <a:solidFill>
                  <a:schemeClr val="lt1">
                    <a:lumMod val="95000"/>
                  </a:schemeClr>
                </a:solidFill>
                <a:latin typeface="+mn-lt"/>
                <a:ea typeface="+mn-lt"/>
                <a:cs typeface="+mn-lt"/>
              </a:rPr>
              <a:t>CONTROL INSUMOS 2025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'2025'!$B$20:$C$20</c:f>
              <c:strCache>
                <c:ptCount val="2"/>
                <c:pt idx="0">
                  <c:v>Gasto mensual</c:v>
                </c:pt>
              </c:strCache>
            </c:strRef>
          </c:tx>
          <c:spPr>
            <a:gradFill>
              <a:gsLst>
                <a:gs pos="0">
                  <a:schemeClr val="accent6">
                    <a:tint val="94000"/>
                    <a:lumMod val="102000"/>
                    <a:satMod val="103000"/>
                  </a:schemeClr>
                </a:gs>
                <a:gs pos="50000">
                  <a:schemeClr val="accent6">
                    <a:shade val="100000"/>
                    <a:lumMod val="100000"/>
                    <a:satMod val="110000"/>
                  </a:schemeClr>
                </a:gs>
                <a:gs pos="100000">
                  <a:schemeClr val="accent6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cat>
            <c:strRef>
              <c:f>'2025'!$D$5:$O$5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'2025'!$D$11:$O$11</c:f>
              <c:numCache>
                <c:formatCode>_("$"* #,##0_);_("$"* \(#,##0\);_("$"* "-"_);_(@_)</c:formatCode>
                <c:ptCount val="12"/>
                <c:pt idx="0">
                  <c:v>1360868</c:v>
                </c:pt>
                <c:pt idx="1">
                  <c:v>1598445</c:v>
                </c:pt>
                <c:pt idx="2">
                  <c:v>1618006</c:v>
                </c:pt>
                <c:pt idx="3">
                  <c:v>1302196</c:v>
                </c:pt>
                <c:pt idx="4">
                  <c:v>1621147</c:v>
                </c:pt>
                <c:pt idx="5">
                  <c:v>1201002</c:v>
                </c:pt>
                <c:pt idx="6">
                  <c:v>1446538</c:v>
                </c:pt>
                <c:pt idx="7">
                  <c:v>1495196</c:v>
                </c:pt>
                <c:pt idx="8">
                  <c:v>1429266</c:v>
                </c:pt>
                <c:pt idx="9">
                  <c:v>1516340</c:v>
                </c:pt>
                <c:pt idx="10">
                  <c:v>1927397</c:v>
                </c:pt>
                <c:pt idx="11">
                  <c:v>1726466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9-484F-A96A-849FEDD006FF}"/>
            </c:ext>
          </c:extLst>
        </c:ser>
        <c:ser>
          <c:idx val="1"/>
          <c:order val="1"/>
          <c:tx>
            <c:strRef>
              <c:f>'2025'!$B$17:$C$17</c:f>
              <c:strCache>
                <c:ptCount val="2"/>
                <c:pt idx="0">
                  <c:v>Presupuesto mensual $3.728.742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60000"/>
                    <a:satMod val="103000"/>
                  </a:schemeClr>
                </a:gs>
                <a:gs pos="50000">
                  <a:schemeClr val="accent1">
                    <a:shade val="100000"/>
                    <a:lumMod val="60000"/>
                    <a:satMod val="110000"/>
                  </a:schemeClr>
                </a:gs>
                <a:gs pos="100000">
                  <a:schemeClr val="accent1">
                    <a:shade val="78000"/>
                    <a:lumMod val="60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trendline>
            <c:spPr>
              <a:ln w="19050">
                <a:solidFill>
                  <a:schemeClr val="accent1">
                    <a:lumMod val="60000"/>
                  </a:schemeClr>
                </a:solidFill>
              </a:ln>
            </c:spPr>
            <c:trendlineType val="linear"/>
            <c:dispRSqr val="0"/>
            <c:dispEq val="0"/>
          </c:trendline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'2025'!$D$12:$O$12</c:f>
              <c:numCache>
                <c:formatCode>_("$"* #,##0_);_("$"* \(#,##0\);_("$"* "-"_);_(@_)</c:formatCode>
                <c:ptCount val="12"/>
                <c:pt idx="0">
                  <c:v>3728742</c:v>
                </c:pt>
                <c:pt idx="1">
                  <c:v>3728742</c:v>
                </c:pt>
                <c:pt idx="2">
                  <c:v>3728742</c:v>
                </c:pt>
                <c:pt idx="3">
                  <c:v>3728742</c:v>
                </c:pt>
                <c:pt idx="4">
                  <c:v>3728742</c:v>
                </c:pt>
                <c:pt idx="5">
                  <c:v>3728742</c:v>
                </c:pt>
                <c:pt idx="6">
                  <c:v>3728742</c:v>
                </c:pt>
                <c:pt idx="7">
                  <c:v>3728742</c:v>
                </c:pt>
                <c:pt idx="8">
                  <c:v>3728742</c:v>
                </c:pt>
                <c:pt idx="9">
                  <c:v>3728742</c:v>
                </c:pt>
                <c:pt idx="10">
                  <c:v>3728742</c:v>
                </c:pt>
                <c:pt idx="11">
                  <c:v>3728742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59-484F-A96A-849FEDD00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700" b="1" i="0" u="none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lt"/>
                    <a:cs typeface="+mn-lt"/>
                  </a:rPr>
                  <a:t>Presupuesto Anual  $44.744.904GAsto ANual               $18.242.867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12700">
            <a:solidFill>
              <a:schemeClr val="lt1">
                <a:lumMod val="95000"/>
                <a:alpha val="54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lt1">
                  <a:lumMod val="95000"/>
                  <a:alpha val="10000"/>
                </a:schemeClr>
              </a:solidFill>
            </a:ln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lt1">
                  <a:lumMod val="85000"/>
                </a:schemeClr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spPr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600" b="1" i="0" u="none">
                <a:solidFill>
                  <a:schemeClr val="lt1">
                    <a:lumMod val="95000"/>
                  </a:schemeClr>
                </a:solidFill>
                <a:latin typeface="+mn-lt"/>
                <a:ea typeface="+mn-lt"/>
                <a:cs typeface="+mn-lt"/>
              </a:rPr>
              <a:t>CONTROL INSUMOS 2025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'2025'!$B$11</c:f>
              <c:strCache>
                <c:ptCount val="1"/>
                <c:pt idx="0">
                  <c:v>Gasto anual</c:v>
                </c:pt>
              </c:strCache>
            </c:strRef>
          </c:tx>
          <c:spPr>
            <a:gradFill>
              <a:gsLst>
                <a:gs pos="0">
                  <a:schemeClr val="accent6">
                    <a:tint val="94000"/>
                    <a:lumMod val="102000"/>
                    <a:satMod val="103000"/>
                  </a:schemeClr>
                </a:gs>
                <a:gs pos="50000">
                  <a:schemeClr val="accent6">
                    <a:shade val="100000"/>
                    <a:lumMod val="100000"/>
                    <a:satMod val="110000"/>
                  </a:schemeClr>
                </a:gs>
                <a:gs pos="100000">
                  <a:schemeClr val="accent6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'2025'!$D$5:$O$5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'2025'!$P$11</c:f>
              <c:numCache>
                <c:formatCode>_("$"* #,##0_);_("$"* \(#,##0\);_("$"* "-"_);_(@_)</c:formatCode>
                <c:ptCount val="1"/>
                <c:pt idx="0">
                  <c:v>18242867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8-4EFA-9A4C-6E9AB583087D}"/>
            </c:ext>
          </c:extLst>
        </c:ser>
        <c:ser>
          <c:idx val="1"/>
          <c:order val="1"/>
          <c:tx>
            <c:strRef>
              <c:f>'2025'!$B$12:$C$12</c:f>
              <c:strCache>
                <c:ptCount val="2"/>
                <c:pt idx="0">
                  <c:v>Presupuesto anual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60000"/>
                    <a:satMod val="103000"/>
                  </a:schemeClr>
                </a:gs>
                <a:gs pos="50000">
                  <a:schemeClr val="accent1">
                    <a:shade val="100000"/>
                    <a:lumMod val="60000"/>
                    <a:satMod val="110000"/>
                  </a:schemeClr>
                </a:gs>
                <a:gs pos="100000">
                  <a:schemeClr val="accent1">
                    <a:shade val="78000"/>
                    <a:lumMod val="60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>
                <a:solidFill>
                  <a:schemeClr val="accent1">
                    <a:lumMod val="60000"/>
                  </a:schemeClr>
                </a:solidFill>
              </a:ln>
            </c:spPr>
            <c:trendlineType val="linear"/>
            <c:dispRSqr val="0"/>
            <c:dispEq val="0"/>
          </c:trendline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'2025'!$P$12</c:f>
              <c:numCache>
                <c:formatCode>_("$"* #,##0_);_("$"* \(#,##0\);_("$"* "-"_);_(@_)</c:formatCode>
                <c:ptCount val="1"/>
                <c:pt idx="0">
                  <c:v>44744904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A8-4EFA-9A4C-6E9AB583087D}"/>
            </c:ext>
          </c:extLst>
        </c:ser>
        <c:ser>
          <c:idx val="2"/>
          <c:order val="2"/>
          <c:tx>
            <c:strRef>
              <c:f>'2025'!$B$13:$C$13</c:f>
              <c:strCache>
                <c:ptCount val="2"/>
                <c:pt idx="0">
                  <c:v>Ahorro presupuestario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'2025'!$P$13</c:f>
              <c:numCache>
                <c:formatCode>_("$"* #,##0_);_("$"* \(#,##0\);_("$"* "-"_);_(@_)</c:formatCode>
                <c:ptCount val="1"/>
                <c:pt idx="0">
                  <c:v>26502037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A8-4EFA-9A4C-6E9AB583087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8650112"/>
        <c:axId val="48672768"/>
      </c:barChart>
      <c:catAx>
        <c:axId val="48650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chemeClr val="lt1">
                  <a:lumMod val="95000"/>
                  <a:alpha val="10000"/>
                </a:schemeClr>
              </a:solidFill>
            </a:ln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lt1">
                  <a:lumMod val="85000"/>
                </a:schemeClr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spPr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600" b="1" i="0" u="none">
                <a:solidFill>
                  <a:schemeClr val="lt1">
                    <a:lumMod val="95000"/>
                  </a:schemeClr>
                </a:solidFill>
                <a:latin typeface="+mn-lt"/>
                <a:ea typeface="+mn-lt"/>
                <a:cs typeface="+mn-lt"/>
              </a:rPr>
              <a:t>CONTROL INSUMOS 2025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'2025'!$B$6:$C$6</c:f>
              <c:strCache>
                <c:ptCount val="2"/>
                <c:pt idx="0">
                  <c:v>Aseo</c:v>
                </c:pt>
              </c:strCache>
            </c:strRef>
          </c:tx>
          <c:spPr>
            <a:gradFill>
              <a:gsLst>
                <a:gs pos="0">
                  <a:schemeClr val="accent6">
                    <a:tint val="94000"/>
                    <a:lumMod val="102000"/>
                    <a:satMod val="103000"/>
                  </a:schemeClr>
                </a:gs>
                <a:gs pos="50000">
                  <a:schemeClr val="accent6">
                    <a:shade val="100000"/>
                    <a:lumMod val="100000"/>
                    <a:satMod val="110000"/>
                  </a:schemeClr>
                </a:gs>
                <a:gs pos="100000">
                  <a:schemeClr val="accent6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cat>
            <c:strRef>
              <c:f>'2025'!$D$5:$O$5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'2025'!$D$6:$O$6</c:f>
              <c:numCache>
                <c:formatCode>_("$"* #,##0_);_("$"* \(#,##0\);_("$"* "-"_);_(@_)</c:formatCode>
                <c:ptCount val="12"/>
                <c:pt idx="0">
                  <c:v>288364</c:v>
                </c:pt>
                <c:pt idx="1">
                  <c:v>406653</c:v>
                </c:pt>
                <c:pt idx="2">
                  <c:v>538847</c:v>
                </c:pt>
                <c:pt idx="3">
                  <c:v>268369</c:v>
                </c:pt>
                <c:pt idx="4">
                  <c:v>645422</c:v>
                </c:pt>
                <c:pt idx="5">
                  <c:v>308928</c:v>
                </c:pt>
                <c:pt idx="6">
                  <c:v>536975</c:v>
                </c:pt>
                <c:pt idx="7">
                  <c:v>348570</c:v>
                </c:pt>
                <c:pt idx="8">
                  <c:v>364533</c:v>
                </c:pt>
                <c:pt idx="9">
                  <c:v>318007</c:v>
                </c:pt>
                <c:pt idx="10">
                  <c:v>489557</c:v>
                </c:pt>
                <c:pt idx="11">
                  <c:v>377140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5-4608-A36B-CE7A3ECC9840}"/>
            </c:ext>
          </c:extLst>
        </c:ser>
        <c:ser>
          <c:idx val="1"/>
          <c:order val="1"/>
          <c:tx>
            <c:strRef>
              <c:f>'2025'!$B$7:$C$7</c:f>
              <c:strCache>
                <c:ptCount val="2"/>
                <c:pt idx="0">
                  <c:v>Epp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60000"/>
                    <a:satMod val="103000"/>
                  </a:schemeClr>
                </a:gs>
                <a:gs pos="50000">
                  <a:schemeClr val="accent1">
                    <a:shade val="100000"/>
                    <a:lumMod val="60000"/>
                    <a:satMod val="110000"/>
                  </a:schemeClr>
                </a:gs>
                <a:gs pos="100000">
                  <a:schemeClr val="accent1">
                    <a:shade val="78000"/>
                    <a:lumMod val="60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'2025'!$D$7:$O$7</c:f>
              <c:numCache>
                <c:formatCode>_("$"* #,##0_);_("$"* \(#,##0\);_("$"* "-"_);_(@_)</c:formatCode>
                <c:ptCount val="12"/>
                <c:pt idx="0">
                  <c:v>383618</c:v>
                </c:pt>
                <c:pt idx="1">
                  <c:v>402985</c:v>
                </c:pt>
                <c:pt idx="2">
                  <c:v>373865</c:v>
                </c:pt>
                <c:pt idx="3">
                  <c:v>315020</c:v>
                </c:pt>
                <c:pt idx="4">
                  <c:v>299390</c:v>
                </c:pt>
                <c:pt idx="5">
                  <c:v>289025</c:v>
                </c:pt>
                <c:pt idx="6">
                  <c:v>282630</c:v>
                </c:pt>
                <c:pt idx="7">
                  <c:v>360350</c:v>
                </c:pt>
                <c:pt idx="8">
                  <c:v>347520</c:v>
                </c:pt>
                <c:pt idx="9">
                  <c:v>435980</c:v>
                </c:pt>
                <c:pt idx="10">
                  <c:v>556334</c:v>
                </c:pt>
                <c:pt idx="11">
                  <c:v>533990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35-4608-A36B-CE7A3ECC9840}"/>
            </c:ext>
          </c:extLst>
        </c:ser>
        <c:ser>
          <c:idx val="2"/>
          <c:order val="2"/>
          <c:tx>
            <c:strRef>
              <c:f>'2025'!$B$8:$C$8</c:f>
              <c:strCache>
                <c:ptCount val="2"/>
                <c:pt idx="0">
                  <c:v>Ferreteria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'2025'!$D$8:$O$8</c:f>
              <c:numCache>
                <c:formatCode>_("$"* #,##0_);_("$"* \(#,##0\);_("$"* "-"_);_(@_)</c:formatCode>
                <c:ptCount val="12"/>
                <c:pt idx="0">
                  <c:v>0</c:v>
                </c:pt>
                <c:pt idx="1">
                  <c:v>19798</c:v>
                </c:pt>
                <c:pt idx="2">
                  <c:v>0</c:v>
                </c:pt>
                <c:pt idx="3">
                  <c:v>15000</c:v>
                </c:pt>
                <c:pt idx="4">
                  <c:v>17580</c:v>
                </c:pt>
                <c:pt idx="5">
                  <c:v>0</c:v>
                </c:pt>
                <c:pt idx="6">
                  <c:v>0</c:v>
                </c:pt>
                <c:pt idx="7">
                  <c:v>51804</c:v>
                </c:pt>
                <c:pt idx="8">
                  <c:v>24444</c:v>
                </c:pt>
                <c:pt idx="9">
                  <c:v>21097</c:v>
                </c:pt>
                <c:pt idx="10">
                  <c:v>50653</c:v>
                </c:pt>
                <c:pt idx="11">
                  <c:v>33456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35-4608-A36B-CE7A3ECC9840}"/>
            </c:ext>
          </c:extLst>
        </c:ser>
        <c:ser>
          <c:idx val="3"/>
          <c:order val="3"/>
          <c:tx>
            <c:strRef>
              <c:f>'2025'!$B$9:$C$9</c:f>
              <c:strCache>
                <c:ptCount val="2"/>
                <c:pt idx="0">
                  <c:v>Librería</c:v>
                </c:pt>
              </c:strCache>
            </c:strRef>
          </c:tx>
          <c:spPr>
            <a:gradFill>
              <a:gsLst>
                <a:gs pos="0">
                  <a:schemeClr val="accent2">
                    <a:tint val="94000"/>
                    <a:lumMod val="102000"/>
                    <a:satMod val="103000"/>
                  </a:schemeClr>
                </a:gs>
                <a:gs pos="50000">
                  <a:schemeClr val="accent2">
                    <a:shade val="100000"/>
                    <a:lumMod val="100000"/>
                    <a:satMod val="110000"/>
                  </a:schemeClr>
                </a:gs>
                <a:gs pos="100000">
                  <a:schemeClr val="accent2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'2025'!$D$9:$O$9</c:f>
              <c:numCache>
                <c:formatCode>_("$"* #,##0_);_("$"* \(#,##0\);_("$"* "-"_);_(@_)</c:formatCode>
                <c:ptCount val="12"/>
                <c:pt idx="0">
                  <c:v>26086</c:v>
                </c:pt>
                <c:pt idx="1">
                  <c:v>109199</c:v>
                </c:pt>
                <c:pt idx="2">
                  <c:v>27074</c:v>
                </c:pt>
                <c:pt idx="3">
                  <c:v>28512</c:v>
                </c:pt>
                <c:pt idx="4">
                  <c:v>22684</c:v>
                </c:pt>
                <c:pt idx="5">
                  <c:v>40153</c:v>
                </c:pt>
                <c:pt idx="6">
                  <c:v>62246</c:v>
                </c:pt>
                <c:pt idx="7">
                  <c:v>62060</c:v>
                </c:pt>
                <c:pt idx="8">
                  <c:v>71192</c:v>
                </c:pt>
                <c:pt idx="9">
                  <c:v>92908</c:v>
                </c:pt>
                <c:pt idx="10">
                  <c:v>105971</c:v>
                </c:pt>
                <c:pt idx="11">
                  <c:v>56998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35-4608-A36B-CE7A3ECC9840}"/>
            </c:ext>
          </c:extLst>
        </c:ser>
        <c:ser>
          <c:idx val="4"/>
          <c:order val="4"/>
          <c:tx>
            <c:strRef>
              <c:f>'2025'!$B$10:$C$10</c:f>
              <c:strCache>
                <c:ptCount val="2"/>
                <c:pt idx="0">
                  <c:v>Papel</c:v>
                </c:pt>
              </c:strCache>
            </c:strRef>
          </c:tx>
          <c:spPr>
            <a:gradFill>
              <a:gsLst>
                <a:gs pos="0">
                  <a:schemeClr val="accent3">
                    <a:tint val="94000"/>
                    <a:lumMod val="102000"/>
                    <a:satMod val="103000"/>
                  </a:schemeClr>
                </a:gs>
                <a:gs pos="50000">
                  <a:schemeClr val="accent3">
                    <a:shade val="100000"/>
                    <a:lumMod val="100000"/>
                    <a:satMod val="110000"/>
                  </a:schemeClr>
                </a:gs>
                <a:gs pos="100000">
                  <a:schemeClr val="accent3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'2025'!$D$10:$O$10</c:f>
              <c:numCache>
                <c:formatCode>_("$"* #,##0_);_("$"* \(#,##0\);_("$"* "-"_);_(@_)</c:formatCode>
                <c:ptCount val="12"/>
                <c:pt idx="0">
                  <c:v>662800</c:v>
                </c:pt>
                <c:pt idx="1">
                  <c:v>659810</c:v>
                </c:pt>
                <c:pt idx="2">
                  <c:v>678220</c:v>
                </c:pt>
                <c:pt idx="3">
                  <c:v>675295</c:v>
                </c:pt>
                <c:pt idx="4">
                  <c:v>636071</c:v>
                </c:pt>
                <c:pt idx="5">
                  <c:v>562896</c:v>
                </c:pt>
                <c:pt idx="6">
                  <c:v>564687</c:v>
                </c:pt>
                <c:pt idx="7">
                  <c:v>672412</c:v>
                </c:pt>
                <c:pt idx="8">
                  <c:v>621577</c:v>
                </c:pt>
                <c:pt idx="9">
                  <c:v>648348</c:v>
                </c:pt>
                <c:pt idx="10">
                  <c:v>724882</c:v>
                </c:pt>
                <c:pt idx="11">
                  <c:v>724882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35-4608-A36B-CE7A3ECC9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600" b="1" i="0" u="none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lt"/>
                    <a:cs typeface="+mn-lt"/>
                  </a:rPr>
                  <a:t>Presupuesto Anual  $44.744.904GAsto ANual               $18.242.867Ahorro presupestario $26.502.037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12700">
            <a:solidFill>
              <a:schemeClr val="lt1">
                <a:lumMod val="95000"/>
                <a:alpha val="54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lt1">
                  <a:lumMod val="95000"/>
                  <a:alpha val="10000"/>
                </a:schemeClr>
              </a:solidFill>
            </a:ln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lt1">
                  <a:lumMod val="85000"/>
                </a:schemeClr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spPr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600" b="1" i="0" u="none">
                <a:solidFill>
                  <a:schemeClr val="lt1">
                    <a:lumMod val="95000"/>
                  </a:schemeClr>
                </a:solidFill>
                <a:latin typeface="+mn-lt"/>
                <a:ea typeface="+mn-lt"/>
                <a:cs typeface="+mn-lt"/>
              </a:rPr>
              <a:t>CONTROL INSUMOS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'2026'!$B$20:$C$20</c:f>
              <c:strCache>
                <c:ptCount val="2"/>
                <c:pt idx="0">
                  <c:v>Gasto mensual</c:v>
                </c:pt>
              </c:strCache>
            </c:strRef>
          </c:tx>
          <c:spPr>
            <a:gradFill>
              <a:gsLst>
                <a:gs pos="0">
                  <a:schemeClr val="accent6">
                    <a:tint val="94000"/>
                    <a:lumMod val="102000"/>
                    <a:satMod val="103000"/>
                  </a:schemeClr>
                </a:gs>
                <a:gs pos="50000">
                  <a:schemeClr val="accent6">
                    <a:shade val="100000"/>
                    <a:lumMod val="100000"/>
                    <a:satMod val="110000"/>
                  </a:schemeClr>
                </a:gs>
                <a:gs pos="100000">
                  <a:schemeClr val="accent6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cat>
            <c:strRef>
              <c:f>'2025'!$D$5:$O$5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'2026'!$D$11:$O$11</c:f>
              <c:numCache>
                <c:formatCode>_("$"* #,##0_);_("$"* \(#,##0\);_("$"* "-"_);_(@_)</c:formatCode>
                <c:ptCount val="12"/>
                <c:pt idx="0">
                  <c:v>1715375</c:v>
                </c:pt>
                <c:pt idx="1">
                  <c:v>1590322</c:v>
                </c:pt>
                <c:pt idx="2">
                  <c:v>1661318</c:v>
                </c:pt>
                <c:pt idx="3">
                  <c:v>1573078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7-476A-9A02-2C6EBCAEB2EB}"/>
            </c:ext>
          </c:extLst>
        </c:ser>
        <c:ser>
          <c:idx val="1"/>
          <c:order val="1"/>
          <c:tx>
            <c:strRef>
              <c:f>'2025'!$B$17:$C$17</c:f>
              <c:strCache>
                <c:ptCount val="2"/>
                <c:pt idx="0">
                  <c:v>Presupuesto mensual $3.728.742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60000"/>
                    <a:satMod val="103000"/>
                  </a:schemeClr>
                </a:gs>
                <a:gs pos="50000">
                  <a:schemeClr val="accent1">
                    <a:shade val="100000"/>
                    <a:lumMod val="60000"/>
                    <a:satMod val="110000"/>
                  </a:schemeClr>
                </a:gs>
                <a:gs pos="100000">
                  <a:schemeClr val="accent1">
                    <a:shade val="78000"/>
                    <a:lumMod val="60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trendline>
            <c:spPr>
              <a:ln w="19050">
                <a:solidFill>
                  <a:schemeClr val="accent1">
                    <a:lumMod val="60000"/>
                  </a:schemeClr>
                </a:solidFill>
              </a:ln>
            </c:spPr>
            <c:trendlineType val="linear"/>
            <c:dispRSqr val="0"/>
            <c:dispEq val="0"/>
          </c:trendline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'2025'!$D$12:$O$12</c:f>
              <c:numCache>
                <c:formatCode>_("$"* #,##0_);_("$"* \(#,##0\);_("$"* "-"_);_(@_)</c:formatCode>
                <c:ptCount val="12"/>
                <c:pt idx="0">
                  <c:v>3728742</c:v>
                </c:pt>
                <c:pt idx="1">
                  <c:v>3728742</c:v>
                </c:pt>
                <c:pt idx="2">
                  <c:v>3728742</c:v>
                </c:pt>
                <c:pt idx="3">
                  <c:v>3728742</c:v>
                </c:pt>
                <c:pt idx="4">
                  <c:v>3728742</c:v>
                </c:pt>
                <c:pt idx="5">
                  <c:v>3728742</c:v>
                </c:pt>
                <c:pt idx="6">
                  <c:v>3728742</c:v>
                </c:pt>
                <c:pt idx="7">
                  <c:v>3728742</c:v>
                </c:pt>
                <c:pt idx="8">
                  <c:v>3728742</c:v>
                </c:pt>
                <c:pt idx="9">
                  <c:v>3728742</c:v>
                </c:pt>
                <c:pt idx="10">
                  <c:v>3728742</c:v>
                </c:pt>
                <c:pt idx="11">
                  <c:v>3728742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47-476A-9A02-2C6EBCAEB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sz="700" b="1" i="0" u="none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lt"/>
                    <a:cs typeface="+mn-lt"/>
                  </a:rPr>
                  <a:t>Presupuesto Anual  $14.914.968GAsto ANual                $4.967.015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12700">
            <a:solidFill>
              <a:schemeClr val="lt1">
                <a:lumMod val="95000"/>
                <a:alpha val="54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lt1">
                  <a:lumMod val="95000"/>
                  <a:alpha val="10000"/>
                </a:schemeClr>
              </a:solidFill>
            </a:ln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lt1">
                  <a:lumMod val="85000"/>
                </a:schemeClr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spPr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600" b="1" i="0" u="none">
                <a:solidFill>
                  <a:schemeClr val="lt1">
                    <a:lumMod val="95000"/>
                  </a:schemeClr>
                </a:solidFill>
                <a:latin typeface="+mn-lt"/>
                <a:ea typeface="+mn-lt"/>
                <a:cs typeface="+mn-lt"/>
              </a:rPr>
              <a:t>CONTROL INSUMOS 2026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'2026'!$B$11:$C$11</c:f>
              <c:strCache>
                <c:ptCount val="2"/>
                <c:pt idx="0">
                  <c:v>Gasto anual</c:v>
                </c:pt>
              </c:strCache>
            </c:strRef>
          </c:tx>
          <c:spPr>
            <a:gradFill>
              <a:gsLst>
                <a:gs pos="0">
                  <a:schemeClr val="accent6">
                    <a:tint val="94000"/>
                    <a:lumMod val="102000"/>
                    <a:satMod val="103000"/>
                  </a:schemeClr>
                </a:gs>
                <a:gs pos="50000">
                  <a:schemeClr val="accent6">
                    <a:shade val="100000"/>
                    <a:lumMod val="100000"/>
                    <a:satMod val="110000"/>
                  </a:schemeClr>
                </a:gs>
                <a:gs pos="100000">
                  <a:schemeClr val="accent6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'2025'!$D$5:$O$5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'2026'!$P$11</c:f>
              <c:numCache>
                <c:formatCode>_("$"* #,##0_);_("$"* \(#,##0\);_("$"* "-"_);_(@_)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C34C-4AB4-8F5E-CEC17138C979}"/>
            </c:ext>
          </c:extLst>
        </c:ser>
        <c:ser>
          <c:idx val="1"/>
          <c:order val="1"/>
          <c:tx>
            <c:strRef>
              <c:f>'2026'!$B$13:$C$13</c:f>
              <c:strCache>
                <c:ptCount val="2"/>
                <c:pt idx="0">
                  <c:v>Ahorro presupuestario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60000"/>
                    <a:satMod val="103000"/>
                  </a:schemeClr>
                </a:gs>
                <a:gs pos="50000">
                  <a:schemeClr val="accent1">
                    <a:shade val="100000"/>
                    <a:lumMod val="60000"/>
                    <a:satMod val="110000"/>
                  </a:schemeClr>
                </a:gs>
                <a:gs pos="100000">
                  <a:schemeClr val="accent1">
                    <a:shade val="78000"/>
                    <a:lumMod val="60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>
                <a:solidFill>
                  <a:schemeClr val="accent1">
                    <a:lumMod val="60000"/>
                  </a:schemeClr>
                </a:solidFill>
              </a:ln>
            </c:spPr>
            <c:trendlineType val="linear"/>
            <c:dispRSqr val="0"/>
            <c:dispEq val="0"/>
          </c:trendline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'2026'!$P$13</c:f>
              <c:numCache>
                <c:formatCode>_("$"* #,##0_);_("$"* \(#,##0\);_("$"* "-"_);_(@_)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C34C-4AB4-8F5E-CEC17138C979}"/>
            </c:ext>
          </c:extLst>
        </c:ser>
        <c:ser>
          <c:idx val="2"/>
          <c:order val="2"/>
          <c:tx>
            <c:strRef>
              <c:f>'2026'!$B$12:$C$12</c:f>
              <c:strCache>
                <c:ptCount val="2"/>
                <c:pt idx="0">
                  <c:v>Presupuesto anual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mc:AlternateContent xmlns:mc="http://schemas.openxmlformats.org/markup-compatibility/2006">
              <mc:Choice xmlns:c16ac="http://schemas.microsoft.com/office/drawing/2014/chart/ac" Requires="c16ac">
                <c16ac:multiLvlStrLit>
                  <c:ptCount val="0"/>
                </c16ac:multiLvlStrLit>
              </mc:Choice>
              <mc:Fallback>
                <c:strLit/>
              </mc:Fallback>
            </mc:AlternateContent>
          </c:cat>
          <c:val>
            <c:numRef>
              <c:f>'2026'!$P$12</c:f>
              <c:numCache>
                <c:formatCode>_("$"* #,##0_);_("$"* \(#,##0\);_("$"* "-"_);_(@_)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C34C-4AB4-8F5E-CEC17138C97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8650112"/>
        <c:axId val="48672768"/>
      </c:barChart>
      <c:catAx>
        <c:axId val="48650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chemeClr val="lt1">
                  <a:lumMod val="95000"/>
                  <a:alpha val="10000"/>
                </a:schemeClr>
              </a:solidFill>
            </a:ln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lt1">
                  <a:lumMod val="85000"/>
                </a:schemeClr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spPr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sz="1600" b="1" i="0" u="none">
                <a:solidFill>
                  <a:schemeClr val="lt1">
                    <a:lumMod val="95000"/>
                  </a:schemeClr>
                </a:solidFill>
                <a:latin typeface="+mn-lt"/>
                <a:ea typeface="+mn-lt"/>
                <a:cs typeface="+mn-lt"/>
              </a:rPr>
              <a:t>CONTROL INSUMOS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'2026'!$B$6:$C$6</c:f>
              <c:strCache>
                <c:ptCount val="2"/>
                <c:pt idx="0">
                  <c:v>Aseo</c:v>
                </c:pt>
              </c:strCache>
            </c:strRef>
          </c:tx>
          <c:spPr>
            <a:gradFill>
              <a:gsLst>
                <a:gs pos="0">
                  <a:schemeClr val="accent6">
                    <a:tint val="94000"/>
                    <a:lumMod val="102000"/>
                    <a:satMod val="103000"/>
                  </a:schemeClr>
                </a:gs>
                <a:gs pos="50000">
                  <a:schemeClr val="accent6">
                    <a:shade val="100000"/>
                    <a:lumMod val="100000"/>
                    <a:satMod val="110000"/>
                  </a:schemeClr>
                </a:gs>
                <a:gs pos="100000">
                  <a:schemeClr val="accent6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'2025'!$D$5:$G$5</c:f>
              <c:strCache>
                <c:ptCount val="4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</c:strCache>
            </c:strRef>
          </c:cat>
          <c:val>
            <c:numRef>
              <c:f>'2026'!$D$6:$G$6</c:f>
              <c:numCache>
                <c:formatCode>_("$"* #,##0_);_("$"* \(#,##0\);_("$"* "-"_);_(@_)</c:formatCode>
                <c:ptCount val="4"/>
                <c:pt idx="0">
                  <c:v>385670</c:v>
                </c:pt>
                <c:pt idx="1">
                  <c:v>288408</c:v>
                </c:pt>
                <c:pt idx="2">
                  <c:v>410517</c:v>
                </c:pt>
                <c:pt idx="3">
                  <c:v>416772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5-4A9C-BBAD-8FB365C467AE}"/>
            </c:ext>
          </c:extLst>
        </c:ser>
        <c:ser>
          <c:idx val="1"/>
          <c:order val="1"/>
          <c:tx>
            <c:strRef>
              <c:f>'2026'!$B$7:$C$7</c:f>
              <c:strCache>
                <c:ptCount val="2"/>
                <c:pt idx="0">
                  <c:v>Epp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60000"/>
                    <a:satMod val="103000"/>
                  </a:schemeClr>
                </a:gs>
                <a:gs pos="50000">
                  <a:schemeClr val="accent1">
                    <a:shade val="100000"/>
                    <a:lumMod val="60000"/>
                    <a:satMod val="110000"/>
                  </a:schemeClr>
                </a:gs>
                <a:gs pos="100000">
                  <a:schemeClr val="accent1">
                    <a:shade val="78000"/>
                    <a:lumMod val="60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</c:strLit>
          </c:cat>
          <c:val>
            <c:numRef>
              <c:f>'2026'!$D$7:$G$7</c:f>
              <c:numCache>
                <c:formatCode>_("$"* #,##0_);_("$"* \(#,##0\);_("$"* "-"_);_(@_)</c:formatCode>
                <c:ptCount val="4"/>
                <c:pt idx="0">
                  <c:v>389190</c:v>
                </c:pt>
                <c:pt idx="1">
                  <c:v>426930</c:v>
                </c:pt>
                <c:pt idx="2">
                  <c:v>453710</c:v>
                </c:pt>
                <c:pt idx="3">
                  <c:v>475950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75-4A9C-BBAD-8FB365C467AE}"/>
            </c:ext>
          </c:extLst>
        </c:ser>
        <c:ser>
          <c:idx val="2"/>
          <c:order val="2"/>
          <c:tx>
            <c:strRef>
              <c:f>'2026'!$B$8:$C$8</c:f>
              <c:strCache>
                <c:ptCount val="2"/>
                <c:pt idx="0">
                  <c:v>Ferreteria</c:v>
                </c:pt>
              </c:strCache>
            </c:strRef>
          </c:tx>
          <c:spPr>
            <a:gradFill>
              <a:gsLst>
                <a:gs pos="0">
                  <a:schemeClr val="accent1">
                    <a:tint val="94000"/>
                    <a:lumMod val="102000"/>
                    <a:satMod val="103000"/>
                  </a:schemeClr>
                </a:gs>
                <a:gs pos="50000">
                  <a:schemeClr val="accent1">
                    <a:shade val="100000"/>
                    <a:lumMod val="100000"/>
                    <a:satMod val="110000"/>
                  </a:schemeClr>
                </a:gs>
                <a:gs pos="100000">
                  <a:schemeClr val="accent1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</c:strLit>
          </c:cat>
          <c:val>
            <c:numRef>
              <c:f>'2026'!$D$8:$G$8</c:f>
              <c:numCache>
                <c:formatCode>_("$"* #,##0_);_("$"* \(#,##0\);_("$"* "-"_);_(@_)</c:formatCode>
                <c:ptCount val="4"/>
                <c:pt idx="0">
                  <c:v>38998</c:v>
                </c:pt>
                <c:pt idx="1">
                  <c:v>24626</c:v>
                </c:pt>
                <c:pt idx="2">
                  <c:v>23400</c:v>
                </c:pt>
                <c:pt idx="3">
                  <c:v>19749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75-4A9C-BBAD-8FB365C467AE}"/>
            </c:ext>
          </c:extLst>
        </c:ser>
        <c:ser>
          <c:idx val="3"/>
          <c:order val="3"/>
          <c:tx>
            <c:strRef>
              <c:f>'2026'!$B$9:$C$9</c:f>
              <c:strCache>
                <c:ptCount val="2"/>
                <c:pt idx="0">
                  <c:v>Librería</c:v>
                </c:pt>
              </c:strCache>
            </c:strRef>
          </c:tx>
          <c:spPr>
            <a:gradFill>
              <a:gsLst>
                <a:gs pos="0">
                  <a:schemeClr val="accent2">
                    <a:tint val="94000"/>
                    <a:lumMod val="102000"/>
                    <a:satMod val="103000"/>
                  </a:schemeClr>
                </a:gs>
                <a:gs pos="50000">
                  <a:schemeClr val="accent2">
                    <a:shade val="100000"/>
                    <a:lumMod val="100000"/>
                    <a:satMod val="110000"/>
                  </a:schemeClr>
                </a:gs>
                <a:gs pos="100000">
                  <a:schemeClr val="accent2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</c:strLit>
          </c:cat>
          <c:val>
            <c:numRef>
              <c:f>'2025'!$D$9:$G$9</c:f>
              <c:numCache>
                <c:formatCode>_("$"* #,##0_);_("$"* \(#,##0\);_("$"* "-"_);_(@_)</c:formatCode>
                <c:ptCount val="4"/>
                <c:pt idx="0">
                  <c:v>26086</c:v>
                </c:pt>
                <c:pt idx="1">
                  <c:v>109199</c:v>
                </c:pt>
                <c:pt idx="2">
                  <c:v>27074</c:v>
                </c:pt>
                <c:pt idx="3">
                  <c:v>28512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75-4A9C-BBAD-8FB365C467AE}"/>
            </c:ext>
          </c:extLst>
        </c:ser>
        <c:ser>
          <c:idx val="4"/>
          <c:order val="4"/>
          <c:tx>
            <c:strRef>
              <c:f>'2026'!$B$10:$C$10</c:f>
              <c:strCache>
                <c:ptCount val="2"/>
                <c:pt idx="0">
                  <c:v>Papel</c:v>
                </c:pt>
              </c:strCache>
            </c:strRef>
          </c:tx>
          <c:spPr>
            <a:gradFill>
              <a:gsLst>
                <a:gs pos="0">
                  <a:schemeClr val="accent3">
                    <a:tint val="94000"/>
                    <a:lumMod val="102000"/>
                    <a:satMod val="103000"/>
                  </a:schemeClr>
                </a:gs>
                <a:gs pos="50000">
                  <a:schemeClr val="accent3">
                    <a:shade val="100000"/>
                    <a:lumMod val="100000"/>
                    <a:satMod val="110000"/>
                  </a:schemeClr>
                </a:gs>
                <a:gs pos="100000">
                  <a:schemeClr val="accent3">
                    <a:shade val="78000"/>
                    <a:lumMod val="99000"/>
                    <a:satMod val="120000"/>
                  </a:schemeClr>
                </a:gs>
              </a:gsLst>
              <a:lin ang="5400000"/>
            </a:gradFill>
            <a:ln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4"/>
              <c:pt idx="0">
                <c:v>ene</c:v>
              </c:pt>
              <c:pt idx="1">
                <c:v>feb</c:v>
              </c:pt>
              <c:pt idx="2">
                <c:v>mar</c:v>
              </c:pt>
              <c:pt idx="3">
                <c:v>abr</c:v>
              </c:pt>
            </c:strLit>
          </c:cat>
          <c:val>
            <c:numRef>
              <c:f>'2026'!$D$10:$G$10</c:f>
              <c:numCache>
                <c:formatCode>_("$"* #,##0_);_("$"* \(#,##0\);_("$"* "-"_);_(@_)</c:formatCode>
                <c:ptCount val="4"/>
                <c:pt idx="0">
                  <c:v>724141</c:v>
                </c:pt>
                <c:pt idx="1">
                  <c:v>724141</c:v>
                </c:pt>
                <c:pt idx="2">
                  <c:v>654232</c:v>
                </c:pt>
                <c:pt idx="3">
                  <c:v>634668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75-4A9C-BBAD-8FB365C467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>
            <a:solidFill>
              <a:schemeClr val="lt1">
                <a:lumMod val="95000"/>
                <a:alpha val="54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lt1">
                  <a:lumMod val="95000"/>
                  <a:alpha val="10000"/>
                </a:schemeClr>
              </a:solidFill>
            </a:ln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lt1">
                    <a:lumMod val="8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CL"/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lt1">
                  <a:lumMod val="85000"/>
                </a:schemeClr>
              </a:solidFill>
              <a:latin typeface="+mn-lt"/>
              <a:ea typeface="+mn-lt"/>
              <a:cs typeface="+mn-lt"/>
            </a:defRPr>
          </a:pPr>
          <a:endParaRPr lang="es-CL"/>
        </a:p>
      </c:txPr>
    </c:legend>
    <c:plotVisOnly val="1"/>
    <c:dispBlanksAs val="zero"/>
    <c:showDLblsOverMax val="1"/>
  </c:chart>
  <c:spPr>
    <a:gradFill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1099908</xdr:colOff>
      <xdr:row>13</xdr:row>
      <xdr:rowOff>471714</xdr:rowOff>
    </xdr:from>
    <xdr:to>
      <xdr:col>9</xdr:col>
      <xdr:colOff>1062182</xdr:colOff>
      <xdr:row>28</xdr:row>
      <xdr:rowOff>57727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1089603</xdr:colOff>
      <xdr:row>30</xdr:row>
      <xdr:rowOff>0</xdr:rowOff>
    </xdr:from>
    <xdr:to>
      <xdr:col>9</xdr:col>
      <xdr:colOff>1050636</xdr:colOff>
      <xdr:row>52</xdr:row>
      <xdr:rowOff>115454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138546</xdr:colOff>
      <xdr:row>13</xdr:row>
      <xdr:rowOff>496455</xdr:rowOff>
    </xdr:from>
    <xdr:to>
      <xdr:col>15</xdr:col>
      <xdr:colOff>456459</xdr:colOff>
      <xdr:row>28</xdr:row>
      <xdr:rowOff>22474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1099908</xdr:colOff>
      <xdr:row>13</xdr:row>
      <xdr:rowOff>471714</xdr:rowOff>
    </xdr:from>
    <xdr:to>
      <xdr:col>9</xdr:col>
      <xdr:colOff>1062182</xdr:colOff>
      <xdr:row>28</xdr:row>
      <xdr:rowOff>57727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1089603</xdr:colOff>
      <xdr:row>30</xdr:row>
      <xdr:rowOff>0</xdr:rowOff>
    </xdr:from>
    <xdr:to>
      <xdr:col>9</xdr:col>
      <xdr:colOff>1050636</xdr:colOff>
      <xdr:row>52</xdr:row>
      <xdr:rowOff>115454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138546</xdr:colOff>
      <xdr:row>13</xdr:row>
      <xdr:rowOff>496455</xdr:rowOff>
    </xdr:from>
    <xdr:to>
      <xdr:col>15</xdr:col>
      <xdr:colOff>456459</xdr:colOff>
      <xdr:row>28</xdr:row>
      <xdr:rowOff>22474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actSolped" displayName="tblFactSolped" ref="A1:F122" dataDxfId="6">
  <tableColumns count="6">
    <tableColumn id="1" xr3:uid="{00000000-0010-0000-0000-000001000000}" name="Año" dataDxfId="5"/>
    <tableColumn id="3" xr3:uid="{00000000-0010-0000-0000-000003000000}" name="Mes" dataDxfId="4"/>
    <tableColumn id="4" xr3:uid="{00000000-0010-0000-0000-000004000000}" name="Fecha_Mes" dataDxfId="3"/>
    <tableColumn id="5" xr3:uid="{00000000-0010-0000-0000-000005000000}" name="Área" dataDxfId="2"/>
    <tableColumn id="6" xr3:uid="{00000000-0010-0000-0000-000006000000}" name="Monto_CLP" dataDxfId="1"/>
    <tableColumn id="7" xr3:uid="{00000000-0010-0000-0000-000007000000}" name="Ti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18"/>
  <sheetViews>
    <sheetView showGridLines="0" workbookViewId="0"/>
  </sheetViews>
  <sheetFormatPr baseColWidth="10" defaultRowHeight="14.5" x14ac:dyDescent="0.35"/>
  <cols>
    <col min="3" max="9" width="7.81640625" customWidth="1"/>
    <col min="10" max="10" width="8.54296875" customWidth="1"/>
  </cols>
  <sheetData>
    <row r="3" spans="2:10" ht="18.5" x14ac:dyDescent="0.45">
      <c r="B3" s="32" t="s">
        <v>0</v>
      </c>
      <c r="C3" s="32"/>
      <c r="D3" s="32"/>
      <c r="E3" s="32"/>
      <c r="F3" s="32"/>
      <c r="G3" s="32"/>
      <c r="H3" s="32"/>
      <c r="I3" s="32"/>
      <c r="J3" s="32"/>
    </row>
    <row r="5" spans="2:10" x14ac:dyDescent="0.35">
      <c r="B5" s="33" t="s">
        <v>1</v>
      </c>
      <c r="C5" s="34" t="s">
        <v>2</v>
      </c>
      <c r="D5" s="35"/>
      <c r="E5" s="36" t="s">
        <v>3</v>
      </c>
      <c r="F5" s="37"/>
      <c r="G5" s="38" t="s">
        <v>4</v>
      </c>
      <c r="H5" s="39"/>
      <c r="I5" s="36" t="s">
        <v>5</v>
      </c>
      <c r="J5" s="37"/>
    </row>
    <row r="6" spans="2:10" x14ac:dyDescent="0.35">
      <c r="B6" s="33"/>
      <c r="C6" s="2">
        <v>2023</v>
      </c>
      <c r="D6" s="3">
        <v>2024</v>
      </c>
      <c r="E6" s="8">
        <v>2023</v>
      </c>
      <c r="F6" s="9">
        <v>2024</v>
      </c>
      <c r="G6" s="2">
        <v>2023</v>
      </c>
      <c r="H6" s="3">
        <v>2024</v>
      </c>
      <c r="I6" s="8">
        <v>2023</v>
      </c>
      <c r="J6" s="9">
        <v>2024</v>
      </c>
    </row>
    <row r="7" spans="2:10" x14ac:dyDescent="0.35">
      <c r="B7" s="1" t="s">
        <v>6</v>
      </c>
      <c r="C7" s="4">
        <v>44.42</v>
      </c>
      <c r="D7" s="5">
        <v>40.200000000000003</v>
      </c>
      <c r="E7" s="10">
        <v>5.82</v>
      </c>
      <c r="F7" s="11">
        <v>8.9700000000000006</v>
      </c>
      <c r="G7" s="4">
        <v>50.86</v>
      </c>
      <c r="H7" s="5">
        <v>75.599999999999994</v>
      </c>
      <c r="I7" s="10">
        <v>119.78</v>
      </c>
      <c r="J7" s="11">
        <v>185.3</v>
      </c>
    </row>
    <row r="8" spans="2:10" x14ac:dyDescent="0.35">
      <c r="B8" s="1" t="s">
        <v>7</v>
      </c>
      <c r="C8" s="4">
        <v>28.19</v>
      </c>
      <c r="D8" s="5">
        <v>53.2</v>
      </c>
      <c r="E8" s="10">
        <v>0</v>
      </c>
      <c r="F8" s="11">
        <v>0</v>
      </c>
      <c r="G8" s="4">
        <v>101.62</v>
      </c>
      <c r="H8" s="5">
        <v>75.400000000000006</v>
      </c>
      <c r="I8" s="10">
        <v>101.62</v>
      </c>
      <c r="J8" s="11">
        <v>165.7</v>
      </c>
    </row>
    <row r="9" spans="2:10" x14ac:dyDescent="0.35">
      <c r="B9" s="1" t="s">
        <v>8</v>
      </c>
      <c r="C9" s="4">
        <v>47.98</v>
      </c>
      <c r="D9" s="5"/>
      <c r="E9" s="10">
        <v>0</v>
      </c>
      <c r="F9" s="11"/>
      <c r="G9" s="4">
        <v>55.21</v>
      </c>
      <c r="H9" s="5"/>
      <c r="I9" s="10">
        <v>162.54</v>
      </c>
      <c r="J9" s="11"/>
    </row>
    <row r="10" spans="2:10" x14ac:dyDescent="0.35">
      <c r="B10" s="1" t="s">
        <v>9</v>
      </c>
      <c r="C10" s="4">
        <v>35.79</v>
      </c>
      <c r="D10" s="5"/>
      <c r="E10" s="10">
        <v>0</v>
      </c>
      <c r="F10" s="11"/>
      <c r="G10" s="4">
        <v>54.27</v>
      </c>
      <c r="H10" s="5"/>
      <c r="I10" s="10">
        <v>185.63</v>
      </c>
      <c r="J10" s="11"/>
    </row>
    <row r="11" spans="2:10" x14ac:dyDescent="0.35">
      <c r="B11" s="1" t="s">
        <v>10</v>
      </c>
      <c r="C11" s="4">
        <v>77.78</v>
      </c>
      <c r="D11" s="5"/>
      <c r="E11" s="10">
        <v>16.5</v>
      </c>
      <c r="F11" s="11"/>
      <c r="G11" s="4">
        <v>83.6</v>
      </c>
      <c r="H11" s="5"/>
      <c r="I11" s="10">
        <v>196.23</v>
      </c>
      <c r="J11" s="11"/>
    </row>
    <row r="12" spans="2:10" x14ac:dyDescent="0.35">
      <c r="B12" s="1" t="s">
        <v>11</v>
      </c>
      <c r="C12" s="4">
        <v>90.72</v>
      </c>
      <c r="D12" s="5"/>
      <c r="E12" s="10">
        <v>20.239999999999998</v>
      </c>
      <c r="F12" s="11"/>
      <c r="G12" s="4">
        <v>84.6</v>
      </c>
      <c r="H12" s="5"/>
      <c r="I12" s="10">
        <v>129.696</v>
      </c>
      <c r="J12" s="11"/>
    </row>
    <row r="13" spans="2:10" x14ac:dyDescent="0.35">
      <c r="B13" s="1" t="s">
        <v>12</v>
      </c>
      <c r="C13" s="4">
        <v>122.1</v>
      </c>
      <c r="D13" s="5"/>
      <c r="E13" s="10">
        <v>8.3000000000000007</v>
      </c>
      <c r="F13" s="11"/>
      <c r="G13" s="4">
        <v>105.4</v>
      </c>
      <c r="H13" s="5"/>
      <c r="I13" s="10">
        <v>198.5</v>
      </c>
      <c r="J13" s="11"/>
    </row>
    <row r="14" spans="2:10" x14ac:dyDescent="0.35">
      <c r="B14" s="1" t="s">
        <v>13</v>
      </c>
      <c r="C14" s="4">
        <v>190.1</v>
      </c>
      <c r="D14" s="5"/>
      <c r="E14" s="10">
        <v>7.36</v>
      </c>
      <c r="F14" s="11"/>
      <c r="G14" s="4">
        <v>110.4</v>
      </c>
      <c r="H14" s="5"/>
      <c r="I14" s="10">
        <v>315.07</v>
      </c>
      <c r="J14" s="11"/>
    </row>
    <row r="15" spans="2:10" x14ac:dyDescent="0.35">
      <c r="B15" s="1" t="s">
        <v>14</v>
      </c>
      <c r="C15" s="4">
        <v>205.5</v>
      </c>
      <c r="D15" s="5"/>
      <c r="E15" s="10">
        <v>82.71</v>
      </c>
      <c r="F15" s="11"/>
      <c r="G15" s="4">
        <v>92.5</v>
      </c>
      <c r="H15" s="5"/>
      <c r="I15" s="10">
        <v>172.36</v>
      </c>
      <c r="J15" s="11"/>
    </row>
    <row r="16" spans="2:10" x14ac:dyDescent="0.35">
      <c r="B16" s="1" t="s">
        <v>15</v>
      </c>
      <c r="C16" s="4">
        <v>61</v>
      </c>
      <c r="D16" s="5"/>
      <c r="E16" s="10">
        <v>22.35</v>
      </c>
      <c r="F16" s="11"/>
      <c r="G16" s="4">
        <v>73.599999999999994</v>
      </c>
      <c r="H16" s="5"/>
      <c r="I16" s="10">
        <v>119.9</v>
      </c>
      <c r="J16" s="11"/>
    </row>
    <row r="17" spans="2:10" x14ac:dyDescent="0.35">
      <c r="B17" s="1" t="s">
        <v>16</v>
      </c>
      <c r="C17" s="4">
        <v>72.099999999999994</v>
      </c>
      <c r="D17" s="5"/>
      <c r="E17" s="10">
        <v>0</v>
      </c>
      <c r="F17" s="11"/>
      <c r="G17" s="4">
        <v>75.099999999999994</v>
      </c>
      <c r="H17" s="5"/>
      <c r="I17" s="10">
        <v>155.1</v>
      </c>
      <c r="J17" s="11"/>
    </row>
    <row r="18" spans="2:10" x14ac:dyDescent="0.35">
      <c r="B18" s="1" t="s">
        <v>17</v>
      </c>
      <c r="C18" s="6">
        <v>54.2</v>
      </c>
      <c r="D18" s="7"/>
      <c r="E18" s="12">
        <v>19.71</v>
      </c>
      <c r="F18" s="13"/>
      <c r="G18" s="6">
        <v>38.6</v>
      </c>
      <c r="H18" s="7"/>
      <c r="I18" s="12">
        <v>140.80000000000001</v>
      </c>
      <c r="J18" s="13"/>
    </row>
  </sheetData>
  <mergeCells count="6">
    <mergeCell ref="B3:J3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86"/>
  <sheetViews>
    <sheetView showGridLines="0" workbookViewId="0"/>
  </sheetViews>
  <sheetFormatPr baseColWidth="10" defaultRowHeight="14.5" x14ac:dyDescent="0.35"/>
  <cols>
    <col min="1" max="1" width="2.1796875" customWidth="1"/>
    <col min="2" max="2" width="23.1796875" customWidth="1"/>
    <col min="3" max="3" width="6.90625" customWidth="1"/>
    <col min="4" max="15" width="18.08984375" customWidth="1"/>
    <col min="16" max="16" width="14.36328125" customWidth="1"/>
    <col min="17" max="17" width="11.453125" customWidth="1"/>
    <col min="21" max="21" width="8.08984375" customWidth="1"/>
  </cols>
  <sheetData>
    <row r="2" spans="2:20" x14ac:dyDescent="0.35">
      <c r="B2" s="44" t="s">
        <v>18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2:20" ht="21" customHeight="1" x14ac:dyDescent="0.35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2:20" ht="26" x14ac:dyDescent="0.6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2:20" ht="26" x14ac:dyDescent="0.35">
      <c r="B5" s="45" t="s">
        <v>19</v>
      </c>
      <c r="C5" s="46"/>
      <c r="D5" s="18" t="s">
        <v>20</v>
      </c>
      <c r="E5" s="18" t="s">
        <v>21</v>
      </c>
      <c r="F5" s="18" t="s">
        <v>22</v>
      </c>
      <c r="G5" s="18" t="s">
        <v>23</v>
      </c>
      <c r="H5" s="18" t="s">
        <v>24</v>
      </c>
      <c r="I5" s="18" t="s">
        <v>25</v>
      </c>
      <c r="J5" s="18" t="s">
        <v>26</v>
      </c>
      <c r="K5" s="18" t="s">
        <v>27</v>
      </c>
      <c r="L5" s="18" t="s">
        <v>28</v>
      </c>
      <c r="M5" s="18" t="s">
        <v>29</v>
      </c>
      <c r="N5" s="18" t="s">
        <v>30</v>
      </c>
      <c r="O5" s="18" t="s">
        <v>31</v>
      </c>
    </row>
    <row r="6" spans="2:20" ht="26" x14ac:dyDescent="0.35">
      <c r="B6" s="47" t="s">
        <v>32</v>
      </c>
      <c r="C6" s="48"/>
      <c r="D6" s="19">
        <v>288364</v>
      </c>
      <c r="E6" s="20">
        <v>406653</v>
      </c>
      <c r="F6" s="20">
        <v>538847</v>
      </c>
      <c r="G6" s="20">
        <v>268369</v>
      </c>
      <c r="H6" s="20">
        <v>645422</v>
      </c>
      <c r="I6" s="20">
        <v>308928</v>
      </c>
      <c r="J6" s="20">
        <v>536975</v>
      </c>
      <c r="K6" s="20">
        <v>348570</v>
      </c>
      <c r="L6" s="20">
        <v>364533</v>
      </c>
      <c r="M6" s="20">
        <v>318007</v>
      </c>
      <c r="N6" s="20">
        <v>489557</v>
      </c>
      <c r="O6" s="20">
        <v>377140</v>
      </c>
      <c r="S6" s="15"/>
      <c r="T6" s="16"/>
    </row>
    <row r="7" spans="2:20" ht="26" x14ac:dyDescent="0.35">
      <c r="B7" s="47" t="s">
        <v>33</v>
      </c>
      <c r="C7" s="48"/>
      <c r="D7" s="19">
        <v>383618</v>
      </c>
      <c r="E7" s="20">
        <v>402985</v>
      </c>
      <c r="F7" s="20">
        <v>373865</v>
      </c>
      <c r="G7" s="20">
        <v>315020</v>
      </c>
      <c r="H7" s="20">
        <v>299390</v>
      </c>
      <c r="I7" s="20">
        <v>289025</v>
      </c>
      <c r="J7" s="20">
        <v>282630</v>
      </c>
      <c r="K7" s="20">
        <v>360350</v>
      </c>
      <c r="L7" s="20">
        <v>347520</v>
      </c>
      <c r="M7" s="20">
        <v>435980</v>
      </c>
      <c r="N7" s="20">
        <v>556334</v>
      </c>
      <c r="O7" s="20">
        <v>533990</v>
      </c>
      <c r="S7" s="15"/>
      <c r="T7" s="16"/>
    </row>
    <row r="8" spans="2:20" ht="26" x14ac:dyDescent="0.35">
      <c r="B8" s="49" t="s">
        <v>34</v>
      </c>
      <c r="C8" s="50"/>
      <c r="D8" s="19">
        <v>0</v>
      </c>
      <c r="E8" s="20">
        <v>19798</v>
      </c>
      <c r="F8" s="19">
        <v>0</v>
      </c>
      <c r="G8" s="20">
        <v>15000</v>
      </c>
      <c r="H8" s="20">
        <v>17580</v>
      </c>
      <c r="I8" s="19">
        <v>0</v>
      </c>
      <c r="J8" s="19">
        <v>0</v>
      </c>
      <c r="K8" s="20">
        <v>51804</v>
      </c>
      <c r="L8" s="20">
        <v>24444</v>
      </c>
      <c r="M8" s="20">
        <v>21097</v>
      </c>
      <c r="N8" s="20">
        <v>50653</v>
      </c>
      <c r="O8" s="20">
        <v>33456</v>
      </c>
      <c r="Q8" s="17"/>
      <c r="S8" s="15"/>
      <c r="T8" s="16"/>
    </row>
    <row r="9" spans="2:20" ht="26" x14ac:dyDescent="0.35">
      <c r="B9" s="47" t="s">
        <v>35</v>
      </c>
      <c r="C9" s="48"/>
      <c r="D9" s="19">
        <v>26086</v>
      </c>
      <c r="E9" s="20">
        <v>109199</v>
      </c>
      <c r="F9" s="20">
        <v>27074</v>
      </c>
      <c r="G9" s="20">
        <v>28512</v>
      </c>
      <c r="H9" s="20">
        <v>22684</v>
      </c>
      <c r="I9" s="20">
        <v>40153</v>
      </c>
      <c r="J9" s="20">
        <v>62246</v>
      </c>
      <c r="K9" s="20">
        <v>62060</v>
      </c>
      <c r="L9" s="20">
        <v>71192</v>
      </c>
      <c r="M9" s="20">
        <v>92908</v>
      </c>
      <c r="N9" s="20">
        <v>105971</v>
      </c>
      <c r="O9" s="20">
        <v>56998</v>
      </c>
      <c r="Q9" s="17"/>
      <c r="S9" s="15"/>
      <c r="T9" s="16"/>
    </row>
    <row r="10" spans="2:20" ht="26" x14ac:dyDescent="0.5">
      <c r="B10" s="51" t="s">
        <v>36</v>
      </c>
      <c r="C10" s="52"/>
      <c r="D10" s="22">
        <v>662800</v>
      </c>
      <c r="E10" s="20">
        <v>659810</v>
      </c>
      <c r="F10" s="20">
        <v>678220</v>
      </c>
      <c r="G10" s="20">
        <v>675295</v>
      </c>
      <c r="H10" s="20">
        <v>636071</v>
      </c>
      <c r="I10" s="20">
        <v>562896</v>
      </c>
      <c r="J10" s="20">
        <v>564687</v>
      </c>
      <c r="K10" s="20">
        <v>672412</v>
      </c>
      <c r="L10" s="20">
        <v>621577</v>
      </c>
      <c r="M10" s="20">
        <v>648348</v>
      </c>
      <c r="N10" s="20">
        <v>724882</v>
      </c>
      <c r="O10" s="20">
        <v>724882</v>
      </c>
      <c r="S10" s="15"/>
      <c r="T10" s="16"/>
    </row>
    <row r="11" spans="2:20" ht="26" x14ac:dyDescent="0.6">
      <c r="B11" s="42" t="s">
        <v>37</v>
      </c>
      <c r="C11" s="43"/>
      <c r="D11" s="21">
        <f>SUM(D6:D10)</f>
        <v>1360868</v>
      </c>
      <c r="E11" s="21">
        <f t="shared" ref="E11:O11" si="0">SUM(E6:E10)</f>
        <v>1598445</v>
      </c>
      <c r="F11" s="21">
        <f t="shared" si="0"/>
        <v>1618006</v>
      </c>
      <c r="G11" s="21">
        <f t="shared" si="0"/>
        <v>1302196</v>
      </c>
      <c r="H11" s="21">
        <f t="shared" si="0"/>
        <v>1621147</v>
      </c>
      <c r="I11" s="21">
        <f t="shared" si="0"/>
        <v>1201002</v>
      </c>
      <c r="J11" s="21">
        <f t="shared" si="0"/>
        <v>1446538</v>
      </c>
      <c r="K11" s="21">
        <f t="shared" si="0"/>
        <v>1495196</v>
      </c>
      <c r="L11" s="21">
        <f t="shared" si="0"/>
        <v>1429266</v>
      </c>
      <c r="M11" s="21">
        <f t="shared" si="0"/>
        <v>1516340</v>
      </c>
      <c r="N11" s="21">
        <f t="shared" si="0"/>
        <v>1927397</v>
      </c>
      <c r="O11" s="21">
        <f t="shared" si="0"/>
        <v>1726466</v>
      </c>
      <c r="P11" s="24">
        <f>SUM(D11:O11)</f>
        <v>18242867</v>
      </c>
    </row>
    <row r="12" spans="2:20" ht="26" x14ac:dyDescent="0.6">
      <c r="B12" s="41" t="s">
        <v>38</v>
      </c>
      <c r="C12" s="41"/>
      <c r="D12" s="23">
        <v>3728742</v>
      </c>
      <c r="E12" s="23">
        <v>3728742</v>
      </c>
      <c r="F12" s="23">
        <v>3728742</v>
      </c>
      <c r="G12" s="23">
        <v>3728742</v>
      </c>
      <c r="H12" s="23">
        <v>3728742</v>
      </c>
      <c r="I12" s="23">
        <v>3728742</v>
      </c>
      <c r="J12" s="23">
        <v>3728742</v>
      </c>
      <c r="K12" s="23">
        <v>3728742</v>
      </c>
      <c r="L12" s="23">
        <v>3728742</v>
      </c>
      <c r="M12" s="23">
        <v>3728742</v>
      </c>
      <c r="N12" s="23">
        <v>3728742</v>
      </c>
      <c r="O12" s="23">
        <v>3728742</v>
      </c>
      <c r="P12" s="24">
        <f>SUM(D12:O12)</f>
        <v>44744904</v>
      </c>
    </row>
    <row r="13" spans="2:20" ht="26" x14ac:dyDescent="0.6">
      <c r="B13" s="40" t="s">
        <v>39</v>
      </c>
      <c r="C13" s="40"/>
      <c r="D13" s="23">
        <f>+D12-D11</f>
        <v>2367874</v>
      </c>
      <c r="E13" s="23">
        <f t="shared" ref="E13:O13" si="1">+E12-E11</f>
        <v>2130297</v>
      </c>
      <c r="F13" s="23">
        <f t="shared" si="1"/>
        <v>2110736</v>
      </c>
      <c r="G13" s="23">
        <f t="shared" si="1"/>
        <v>2426546</v>
      </c>
      <c r="H13" s="23">
        <f t="shared" si="1"/>
        <v>2107595</v>
      </c>
      <c r="I13" s="23">
        <f t="shared" si="1"/>
        <v>2527740</v>
      </c>
      <c r="J13" s="23">
        <f t="shared" si="1"/>
        <v>2282204</v>
      </c>
      <c r="K13" s="23">
        <f t="shared" si="1"/>
        <v>2233546</v>
      </c>
      <c r="L13" s="23">
        <f t="shared" si="1"/>
        <v>2299476</v>
      </c>
      <c r="M13" s="23">
        <f t="shared" si="1"/>
        <v>2212402</v>
      </c>
      <c r="N13" s="23">
        <f t="shared" si="1"/>
        <v>1801345</v>
      </c>
      <c r="O13" s="23">
        <f t="shared" si="1"/>
        <v>2002276</v>
      </c>
      <c r="P13" s="24">
        <f>SUM(D13:O13)</f>
        <v>26502037</v>
      </c>
    </row>
    <row r="14" spans="2:20" ht="64.5" customHeight="1" x14ac:dyDescent="0.35"/>
    <row r="17" spans="2:16" ht="26" x14ac:dyDescent="0.6">
      <c r="B17" s="41" t="s">
        <v>40</v>
      </c>
      <c r="C17" s="41"/>
      <c r="P17" s="25">
        <f>+P12-P11</f>
        <v>26502037</v>
      </c>
    </row>
    <row r="20" spans="2:16" ht="26" x14ac:dyDescent="0.6">
      <c r="B20" s="42" t="s">
        <v>41</v>
      </c>
      <c r="C20" s="43"/>
    </row>
    <row r="28" spans="2:16" ht="58.5" customHeight="1" x14ac:dyDescent="0.35"/>
    <row r="29" spans="2:16" ht="7.5" customHeight="1" x14ac:dyDescent="0.35"/>
    <row r="30" spans="2:16" ht="3" customHeight="1" x14ac:dyDescent="0.35"/>
    <row r="31" spans="2:16" hidden="1" x14ac:dyDescent="0.35"/>
    <row r="32" spans="2:16" hidden="1" x14ac:dyDescent="0.35"/>
    <row r="33" hidden="1" x14ac:dyDescent="0.35"/>
    <row r="47" ht="56.5" customHeight="1" x14ac:dyDescent="0.35"/>
    <row r="66" ht="78.5" customHeight="1" x14ac:dyDescent="0.35"/>
    <row r="67" ht="48.5" customHeight="1" x14ac:dyDescent="0.35"/>
    <row r="83" ht="74.5" customHeight="1" x14ac:dyDescent="0.35"/>
    <row r="86" ht="52.5" customHeight="1" x14ac:dyDescent="0.35"/>
  </sheetData>
  <mergeCells count="12">
    <mergeCell ref="B13:C13"/>
    <mergeCell ref="B17:C17"/>
    <mergeCell ref="B20:C20"/>
    <mergeCell ref="B2:O3"/>
    <mergeCell ref="B5:C5"/>
    <mergeCell ref="B6:C6"/>
    <mergeCell ref="B7:C7"/>
    <mergeCell ref="B8:C8"/>
    <mergeCell ref="B9:C9"/>
    <mergeCell ref="B10:C10"/>
    <mergeCell ref="B11:C11"/>
    <mergeCell ref="B12:C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T86"/>
  <sheetViews>
    <sheetView workbookViewId="0"/>
  </sheetViews>
  <sheetFormatPr baseColWidth="10" defaultRowHeight="14.5" x14ac:dyDescent="0.35"/>
  <cols>
    <col min="1" max="1" width="2.1796875" customWidth="1"/>
    <col min="2" max="2" width="23.1796875" customWidth="1"/>
    <col min="3" max="3" width="9.36328125" customWidth="1"/>
    <col min="4" max="15" width="18.08984375" customWidth="1"/>
    <col min="16" max="16" width="14.36328125" customWidth="1"/>
    <col min="17" max="17" width="11.453125" customWidth="1"/>
    <col min="21" max="21" width="8.08984375" customWidth="1"/>
  </cols>
  <sheetData>
    <row r="2" spans="2:20" x14ac:dyDescent="0.35">
      <c r="B2" s="44" t="s">
        <v>42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2:20" ht="14" customHeight="1" x14ac:dyDescent="0.35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2:20" ht="26" x14ac:dyDescent="0.6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2:20" ht="26" x14ac:dyDescent="0.35">
      <c r="B5" s="45" t="s">
        <v>19</v>
      </c>
      <c r="C5" s="46"/>
      <c r="D5" s="18" t="s">
        <v>20</v>
      </c>
      <c r="E5" s="18" t="s">
        <v>21</v>
      </c>
      <c r="F5" s="18" t="s">
        <v>22</v>
      </c>
      <c r="G5" s="18" t="s">
        <v>23</v>
      </c>
      <c r="H5" s="18" t="s">
        <v>24</v>
      </c>
      <c r="I5" s="18" t="s">
        <v>25</v>
      </c>
      <c r="J5" s="18" t="s">
        <v>26</v>
      </c>
      <c r="K5" s="18" t="s">
        <v>27</v>
      </c>
      <c r="L5" s="18" t="s">
        <v>28</v>
      </c>
      <c r="M5" s="18" t="s">
        <v>29</v>
      </c>
      <c r="N5" s="18" t="s">
        <v>30</v>
      </c>
      <c r="O5" s="18" t="s">
        <v>31</v>
      </c>
    </row>
    <row r="6" spans="2:20" ht="26" x14ac:dyDescent="0.35">
      <c r="B6" s="47" t="s">
        <v>32</v>
      </c>
      <c r="C6" s="48"/>
      <c r="D6" s="19">
        <v>385670</v>
      </c>
      <c r="E6" s="20">
        <v>288408</v>
      </c>
      <c r="F6" s="20">
        <v>410517</v>
      </c>
      <c r="G6" s="20">
        <v>416772</v>
      </c>
      <c r="H6" s="20"/>
      <c r="I6" s="20"/>
      <c r="J6" s="20"/>
      <c r="K6" s="20"/>
      <c r="L6" s="20"/>
      <c r="M6" s="20"/>
      <c r="N6" s="20"/>
      <c r="O6" s="20"/>
      <c r="S6" s="15"/>
      <c r="T6" s="16"/>
    </row>
    <row r="7" spans="2:20" ht="26" x14ac:dyDescent="0.35">
      <c r="B7" s="47" t="s">
        <v>33</v>
      </c>
      <c r="C7" s="48"/>
      <c r="D7" s="19">
        <v>389190</v>
      </c>
      <c r="E7" s="20">
        <v>426930</v>
      </c>
      <c r="F7" s="20">
        <v>453710</v>
      </c>
      <c r="G7" s="20">
        <v>475950</v>
      </c>
      <c r="H7" s="20"/>
      <c r="I7" s="20"/>
      <c r="J7" s="20"/>
      <c r="K7" s="20"/>
      <c r="L7" s="20"/>
      <c r="M7" s="20"/>
      <c r="N7" s="20"/>
      <c r="O7" s="20"/>
      <c r="S7" s="15"/>
      <c r="T7" s="16"/>
    </row>
    <row r="8" spans="2:20" ht="26" x14ac:dyDescent="0.35">
      <c r="B8" s="49" t="s">
        <v>34</v>
      </c>
      <c r="C8" s="50"/>
      <c r="D8" s="19">
        <v>38998</v>
      </c>
      <c r="E8" s="20">
        <v>24626</v>
      </c>
      <c r="F8" s="19">
        <v>23400</v>
      </c>
      <c r="G8" s="20">
        <v>19749</v>
      </c>
      <c r="H8" s="20"/>
      <c r="I8" s="19"/>
      <c r="J8" s="19"/>
      <c r="K8" s="20"/>
      <c r="L8" s="20"/>
      <c r="M8" s="20"/>
      <c r="N8" s="20"/>
      <c r="O8" s="20"/>
      <c r="Q8" s="17"/>
      <c r="S8" s="15"/>
      <c r="T8" s="16"/>
    </row>
    <row r="9" spans="2:20" ht="26" x14ac:dyDescent="0.35">
      <c r="B9" s="47" t="s">
        <v>35</v>
      </c>
      <c r="C9" s="48"/>
      <c r="D9" s="19">
        <v>177376</v>
      </c>
      <c r="E9" s="20">
        <v>126217</v>
      </c>
      <c r="F9" s="20">
        <v>119459</v>
      </c>
      <c r="G9" s="20">
        <v>25939</v>
      </c>
      <c r="H9" s="20"/>
      <c r="I9" s="20"/>
      <c r="J9" s="20"/>
      <c r="K9" s="20"/>
      <c r="L9" s="20"/>
      <c r="M9" s="20"/>
      <c r="N9" s="20"/>
      <c r="O9" s="20"/>
      <c r="Q9" s="17"/>
      <c r="S9" s="15"/>
      <c r="T9" s="16"/>
    </row>
    <row r="10" spans="2:20" ht="26" x14ac:dyDescent="0.5">
      <c r="B10" s="51" t="s">
        <v>36</v>
      </c>
      <c r="C10" s="52"/>
      <c r="D10" s="22">
        <v>724141</v>
      </c>
      <c r="E10" s="22">
        <v>724141</v>
      </c>
      <c r="F10" s="20">
        <v>654232</v>
      </c>
      <c r="G10" s="20">
        <v>634668</v>
      </c>
      <c r="H10" s="20"/>
      <c r="I10" s="20"/>
      <c r="J10" s="20"/>
      <c r="K10" s="20"/>
      <c r="L10" s="20"/>
      <c r="M10" s="20"/>
      <c r="N10" s="20"/>
      <c r="O10" s="20"/>
      <c r="S10" s="15"/>
      <c r="T10" s="16"/>
    </row>
    <row r="11" spans="2:20" ht="26" x14ac:dyDescent="0.6">
      <c r="B11" s="42" t="s">
        <v>37</v>
      </c>
      <c r="C11" s="43"/>
      <c r="D11" s="21">
        <f>SUM(D6:D10)</f>
        <v>1715375</v>
      </c>
      <c r="E11" s="21">
        <f t="shared" ref="E11:G11" si="0">SUM(E6:E10)</f>
        <v>1590322</v>
      </c>
      <c r="F11" s="21">
        <f t="shared" si="0"/>
        <v>1661318</v>
      </c>
      <c r="G11" s="21">
        <f t="shared" si="0"/>
        <v>1573078</v>
      </c>
      <c r="H11" s="21"/>
      <c r="I11" s="21"/>
      <c r="J11" s="21"/>
      <c r="K11" s="21"/>
      <c r="L11" s="21"/>
      <c r="M11" s="21"/>
      <c r="N11" s="21"/>
      <c r="O11" s="21"/>
      <c r="P11" s="24"/>
    </row>
    <row r="12" spans="2:20" ht="26" x14ac:dyDescent="0.6">
      <c r="B12" s="41" t="s">
        <v>38</v>
      </c>
      <c r="C12" s="41"/>
      <c r="D12" s="23">
        <v>3728742</v>
      </c>
      <c r="E12" s="23">
        <v>3728742</v>
      </c>
      <c r="F12" s="23">
        <v>3728742</v>
      </c>
      <c r="G12" s="23">
        <v>3728742</v>
      </c>
      <c r="H12" s="23"/>
      <c r="I12" s="23"/>
      <c r="J12" s="23"/>
      <c r="K12" s="23"/>
      <c r="L12" s="23"/>
      <c r="M12" s="23"/>
      <c r="N12" s="23"/>
      <c r="O12" s="23"/>
      <c r="P12" s="24"/>
    </row>
    <row r="13" spans="2:20" ht="26" x14ac:dyDescent="0.6">
      <c r="B13" s="40" t="s">
        <v>39</v>
      </c>
      <c r="C13" s="40"/>
      <c r="D13" s="23">
        <f>+D12-D11</f>
        <v>2013367</v>
      </c>
      <c r="E13" s="23">
        <f t="shared" ref="E13:G13" si="1">+E12-E11</f>
        <v>2138420</v>
      </c>
      <c r="F13" s="23">
        <f t="shared" si="1"/>
        <v>2067424</v>
      </c>
      <c r="G13" s="23">
        <f t="shared" si="1"/>
        <v>2155664</v>
      </c>
      <c r="H13" s="23"/>
      <c r="I13" s="23"/>
      <c r="J13" s="23"/>
      <c r="K13" s="23"/>
      <c r="L13" s="23"/>
      <c r="M13" s="23"/>
      <c r="N13" s="23"/>
      <c r="O13" s="23"/>
      <c r="P13" s="24"/>
    </row>
    <row r="14" spans="2:20" ht="43" customHeight="1" x14ac:dyDescent="0.35"/>
    <row r="17" spans="2:16" ht="26" x14ac:dyDescent="0.6">
      <c r="B17" s="41" t="s">
        <v>40</v>
      </c>
      <c r="C17" s="41"/>
      <c r="P17" s="25">
        <f>+P12-P11</f>
        <v>0</v>
      </c>
    </row>
    <row r="20" spans="2:16" ht="26" x14ac:dyDescent="0.6">
      <c r="B20" s="42" t="s">
        <v>41</v>
      </c>
      <c r="C20" s="43"/>
    </row>
    <row r="28" spans="2:16" ht="39" customHeight="1" x14ac:dyDescent="0.35"/>
    <row r="29" spans="2:16" ht="5" customHeight="1" x14ac:dyDescent="0.35"/>
    <row r="30" spans="2:16" ht="2" customHeight="1" x14ac:dyDescent="0.35"/>
    <row r="31" spans="2:16" hidden="1" x14ac:dyDescent="0.35"/>
    <row r="32" spans="2:16" hidden="1" x14ac:dyDescent="0.35"/>
    <row r="33" hidden="1" x14ac:dyDescent="0.35"/>
    <row r="47" ht="37.65" customHeight="1" x14ac:dyDescent="0.35"/>
    <row r="66" ht="52.4" customHeight="1" x14ac:dyDescent="0.35"/>
    <row r="67" ht="32.4" customHeight="1" x14ac:dyDescent="0.35"/>
    <row r="83" ht="49.65" customHeight="1" x14ac:dyDescent="0.35"/>
    <row r="86" ht="35" customHeight="1" x14ac:dyDescent="0.35"/>
  </sheetData>
  <mergeCells count="12">
    <mergeCell ref="B20:C20"/>
    <mergeCell ref="B2:O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7:C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8.7265625" defaultRowHeight="14.5" x14ac:dyDescent="0.35"/>
  <cols>
    <col min="1" max="1" width="24" customWidth="1"/>
    <col min="2" max="2" width="90" customWidth="1"/>
  </cols>
  <sheetData>
    <row r="1" spans="1:2" ht="37" x14ac:dyDescent="0.45">
      <c r="A1" s="28" t="s">
        <v>43</v>
      </c>
      <c r="B1" s="28"/>
    </row>
    <row r="3" spans="1:2" x14ac:dyDescent="0.35">
      <c r="A3" s="27" t="s">
        <v>44</v>
      </c>
      <c r="B3" t="s">
        <v>45</v>
      </c>
    </row>
    <row r="4" spans="1:2" x14ac:dyDescent="0.35">
      <c r="A4" s="27" t="s">
        <v>46</v>
      </c>
      <c r="B4" t="s">
        <v>47</v>
      </c>
    </row>
    <row r="5" spans="1:2" x14ac:dyDescent="0.35">
      <c r="A5" s="27" t="s">
        <v>48</v>
      </c>
      <c r="B5" t="s">
        <v>49</v>
      </c>
    </row>
    <row r="6" spans="1:2" x14ac:dyDescent="0.35">
      <c r="A6" s="27" t="s">
        <v>50</v>
      </c>
      <c r="B6" t="s">
        <v>51</v>
      </c>
    </row>
    <row r="7" spans="1:2" x14ac:dyDescent="0.35">
      <c r="A7" s="27" t="s">
        <v>52</v>
      </c>
      <c r="B7" t="s">
        <v>53</v>
      </c>
    </row>
    <row r="8" spans="1:2" x14ac:dyDescent="0.35">
      <c r="A8" s="27" t="s">
        <v>54</v>
      </c>
      <c r="B8" t="s">
        <v>55</v>
      </c>
    </row>
    <row r="9" spans="1:2" x14ac:dyDescent="0.35">
      <c r="A9" s="27" t="s">
        <v>56</v>
      </c>
      <c r="B9" t="s">
        <v>57</v>
      </c>
    </row>
    <row r="10" spans="1:2" x14ac:dyDescent="0.35">
      <c r="A10" s="27" t="s">
        <v>58</v>
      </c>
      <c r="B10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2"/>
  <sheetViews>
    <sheetView tabSelected="1" topLeftCell="A92" workbookViewId="0">
      <selection activeCell="H107" activeCellId="1" sqref="E97:E101 H107"/>
    </sheetView>
  </sheetViews>
  <sheetFormatPr baseColWidth="10" defaultColWidth="8.7265625" defaultRowHeight="14.5" x14ac:dyDescent="0.35"/>
  <cols>
    <col min="1" max="7" width="13.81640625" customWidth="1"/>
    <col min="8" max="8" width="9.26953125" bestFit="1" customWidth="1"/>
  </cols>
  <sheetData>
    <row r="1" spans="1:6" x14ac:dyDescent="0.35">
      <c r="A1" s="26" t="s">
        <v>60</v>
      </c>
      <c r="B1" s="26" t="s">
        <v>61</v>
      </c>
      <c r="C1" s="26" t="s">
        <v>62</v>
      </c>
      <c r="D1" s="26" t="s">
        <v>63</v>
      </c>
      <c r="E1" s="26" t="s">
        <v>64</v>
      </c>
      <c r="F1" s="26" t="s">
        <v>65</v>
      </c>
    </row>
    <row r="2" spans="1:6" x14ac:dyDescent="0.35">
      <c r="A2" s="29">
        <v>2025</v>
      </c>
      <c r="B2" s="29" t="s">
        <v>66</v>
      </c>
      <c r="C2" s="30">
        <v>45658</v>
      </c>
      <c r="D2" s="29" t="s">
        <v>32</v>
      </c>
      <c r="E2" s="31">
        <v>288364</v>
      </c>
      <c r="F2" s="29" t="s">
        <v>67</v>
      </c>
    </row>
    <row r="3" spans="1:6" x14ac:dyDescent="0.35">
      <c r="A3" s="29">
        <v>2025</v>
      </c>
      <c r="B3" s="29" t="s">
        <v>66</v>
      </c>
      <c r="C3" s="30">
        <v>45658</v>
      </c>
      <c r="D3" s="29" t="s">
        <v>68</v>
      </c>
      <c r="E3" s="31">
        <v>383618</v>
      </c>
      <c r="F3" s="29" t="s">
        <v>67</v>
      </c>
    </row>
    <row r="4" spans="1:6" x14ac:dyDescent="0.35">
      <c r="A4" s="29">
        <v>2025</v>
      </c>
      <c r="B4" s="29" t="s">
        <v>66</v>
      </c>
      <c r="C4" s="30">
        <v>45658</v>
      </c>
      <c r="D4" s="29" t="s">
        <v>69</v>
      </c>
      <c r="E4" s="31">
        <v>0</v>
      </c>
      <c r="F4" s="29" t="s">
        <v>67</v>
      </c>
    </row>
    <row r="5" spans="1:6" x14ac:dyDescent="0.35">
      <c r="A5" s="29">
        <v>2025</v>
      </c>
      <c r="B5" s="29" t="s">
        <v>66</v>
      </c>
      <c r="C5" s="30">
        <v>45658</v>
      </c>
      <c r="D5" s="29" t="s">
        <v>35</v>
      </c>
      <c r="E5" s="31">
        <v>26086</v>
      </c>
      <c r="F5" s="29" t="s">
        <v>67</v>
      </c>
    </row>
    <row r="6" spans="1:6" x14ac:dyDescent="0.35">
      <c r="A6" s="29">
        <v>2025</v>
      </c>
      <c r="B6" s="29" t="s">
        <v>66</v>
      </c>
      <c r="C6" s="30">
        <v>45658</v>
      </c>
      <c r="D6" s="29" t="s">
        <v>36</v>
      </c>
      <c r="E6" s="31">
        <v>662800</v>
      </c>
      <c r="F6" s="29" t="s">
        <v>67</v>
      </c>
    </row>
    <row r="7" spans="1:6" x14ac:dyDescent="0.35">
      <c r="A7" s="29">
        <v>2025</v>
      </c>
      <c r="B7" s="29" t="s">
        <v>70</v>
      </c>
      <c r="C7" s="30">
        <v>45689</v>
      </c>
      <c r="D7" s="29" t="s">
        <v>32</v>
      </c>
      <c r="E7" s="31">
        <v>406653</v>
      </c>
      <c r="F7" s="29" t="s">
        <v>67</v>
      </c>
    </row>
    <row r="8" spans="1:6" x14ac:dyDescent="0.35">
      <c r="A8" s="29">
        <v>2025</v>
      </c>
      <c r="B8" s="29" t="s">
        <v>70</v>
      </c>
      <c r="C8" s="30">
        <v>45689</v>
      </c>
      <c r="D8" s="29" t="s">
        <v>68</v>
      </c>
      <c r="E8" s="31">
        <v>402985</v>
      </c>
      <c r="F8" s="29" t="s">
        <v>67</v>
      </c>
    </row>
    <row r="9" spans="1:6" x14ac:dyDescent="0.35">
      <c r="A9" s="29">
        <v>2025</v>
      </c>
      <c r="B9" s="29" t="s">
        <v>70</v>
      </c>
      <c r="C9" s="30">
        <v>45689</v>
      </c>
      <c r="D9" s="29" t="s">
        <v>69</v>
      </c>
      <c r="E9" s="31">
        <v>19798</v>
      </c>
      <c r="F9" s="29" t="s">
        <v>67</v>
      </c>
    </row>
    <row r="10" spans="1:6" x14ac:dyDescent="0.35">
      <c r="A10" s="29">
        <v>2025</v>
      </c>
      <c r="B10" s="29" t="s">
        <v>70</v>
      </c>
      <c r="C10" s="30">
        <v>45689</v>
      </c>
      <c r="D10" s="29" t="s">
        <v>35</v>
      </c>
      <c r="E10" s="31">
        <v>109199</v>
      </c>
      <c r="F10" s="29" t="s">
        <v>67</v>
      </c>
    </row>
    <row r="11" spans="1:6" x14ac:dyDescent="0.35">
      <c r="A11" s="29">
        <v>2025</v>
      </c>
      <c r="B11" s="29" t="s">
        <v>70</v>
      </c>
      <c r="C11" s="30">
        <v>45689</v>
      </c>
      <c r="D11" s="29" t="s">
        <v>36</v>
      </c>
      <c r="E11" s="31">
        <v>659810</v>
      </c>
      <c r="F11" s="29" t="s">
        <v>67</v>
      </c>
    </row>
    <row r="12" spans="1:6" x14ac:dyDescent="0.35">
      <c r="A12" s="29">
        <v>2025</v>
      </c>
      <c r="B12" s="29" t="s">
        <v>8</v>
      </c>
      <c r="C12" s="30">
        <v>45717</v>
      </c>
      <c r="D12" s="29" t="s">
        <v>32</v>
      </c>
      <c r="E12" s="31">
        <v>538847</v>
      </c>
      <c r="F12" s="29" t="s">
        <v>67</v>
      </c>
    </row>
    <row r="13" spans="1:6" x14ac:dyDescent="0.35">
      <c r="A13" s="29">
        <v>2025</v>
      </c>
      <c r="B13" s="29" t="s">
        <v>8</v>
      </c>
      <c r="C13" s="30">
        <v>45717</v>
      </c>
      <c r="D13" s="29" t="s">
        <v>68</v>
      </c>
      <c r="E13" s="31">
        <v>373865</v>
      </c>
      <c r="F13" s="29" t="s">
        <v>67</v>
      </c>
    </row>
    <row r="14" spans="1:6" x14ac:dyDescent="0.35">
      <c r="A14" s="29">
        <v>2025</v>
      </c>
      <c r="B14" s="29" t="s">
        <v>8</v>
      </c>
      <c r="C14" s="30">
        <v>45717</v>
      </c>
      <c r="D14" s="29" t="s">
        <v>69</v>
      </c>
      <c r="E14" s="31">
        <v>0</v>
      </c>
      <c r="F14" s="29" t="s">
        <v>67</v>
      </c>
    </row>
    <row r="15" spans="1:6" x14ac:dyDescent="0.35">
      <c r="A15" s="29">
        <v>2025</v>
      </c>
      <c r="B15" s="29" t="s">
        <v>8</v>
      </c>
      <c r="C15" s="30">
        <v>45717</v>
      </c>
      <c r="D15" s="29" t="s">
        <v>35</v>
      </c>
      <c r="E15" s="31">
        <v>27074</v>
      </c>
      <c r="F15" s="29" t="s">
        <v>67</v>
      </c>
    </row>
    <row r="16" spans="1:6" x14ac:dyDescent="0.35">
      <c r="A16" s="29">
        <v>2025</v>
      </c>
      <c r="B16" s="29" t="s">
        <v>8</v>
      </c>
      <c r="C16" s="30">
        <v>45717</v>
      </c>
      <c r="D16" s="29" t="s">
        <v>36</v>
      </c>
      <c r="E16" s="31">
        <v>678220</v>
      </c>
      <c r="F16" s="29" t="s">
        <v>67</v>
      </c>
    </row>
    <row r="17" spans="1:6" x14ac:dyDescent="0.35">
      <c r="A17" s="29">
        <v>2025</v>
      </c>
      <c r="B17" s="29" t="s">
        <v>9</v>
      </c>
      <c r="C17" s="30">
        <v>45748</v>
      </c>
      <c r="D17" s="29" t="s">
        <v>32</v>
      </c>
      <c r="E17" s="31">
        <v>268369</v>
      </c>
      <c r="F17" s="29" t="s">
        <v>67</v>
      </c>
    </row>
    <row r="18" spans="1:6" x14ac:dyDescent="0.35">
      <c r="A18" s="29">
        <v>2025</v>
      </c>
      <c r="B18" s="29" t="s">
        <v>9</v>
      </c>
      <c r="C18" s="30">
        <v>45748</v>
      </c>
      <c r="D18" s="29" t="s">
        <v>68</v>
      </c>
      <c r="E18" s="31">
        <v>315020</v>
      </c>
      <c r="F18" s="29" t="s">
        <v>67</v>
      </c>
    </row>
    <row r="19" spans="1:6" x14ac:dyDescent="0.35">
      <c r="A19" s="29">
        <v>2025</v>
      </c>
      <c r="B19" s="29" t="s">
        <v>9</v>
      </c>
      <c r="C19" s="30">
        <v>45748</v>
      </c>
      <c r="D19" s="29" t="s">
        <v>69</v>
      </c>
      <c r="E19" s="31">
        <v>15000</v>
      </c>
      <c r="F19" s="29" t="s">
        <v>67</v>
      </c>
    </row>
    <row r="20" spans="1:6" x14ac:dyDescent="0.35">
      <c r="A20" s="29">
        <v>2025</v>
      </c>
      <c r="B20" s="29" t="s">
        <v>9</v>
      </c>
      <c r="C20" s="30">
        <v>45748</v>
      </c>
      <c r="D20" s="29" t="s">
        <v>35</v>
      </c>
      <c r="E20" s="31">
        <v>28512</v>
      </c>
      <c r="F20" s="29" t="s">
        <v>67</v>
      </c>
    </row>
    <row r="21" spans="1:6" x14ac:dyDescent="0.35">
      <c r="A21" s="29">
        <v>2025</v>
      </c>
      <c r="B21" s="29" t="s">
        <v>9</v>
      </c>
      <c r="C21" s="30">
        <v>45748</v>
      </c>
      <c r="D21" s="29" t="s">
        <v>36</v>
      </c>
      <c r="E21" s="31">
        <v>675295</v>
      </c>
      <c r="F21" s="29" t="s">
        <v>67</v>
      </c>
    </row>
    <row r="22" spans="1:6" x14ac:dyDescent="0.35">
      <c r="A22" s="29">
        <v>2025</v>
      </c>
      <c r="B22" s="29" t="s">
        <v>10</v>
      </c>
      <c r="C22" s="30">
        <v>45778</v>
      </c>
      <c r="D22" s="29" t="s">
        <v>32</v>
      </c>
      <c r="E22" s="31">
        <v>645422</v>
      </c>
      <c r="F22" s="29" t="s">
        <v>67</v>
      </c>
    </row>
    <row r="23" spans="1:6" x14ac:dyDescent="0.35">
      <c r="A23" s="29">
        <v>2025</v>
      </c>
      <c r="B23" s="29" t="s">
        <v>10</v>
      </c>
      <c r="C23" s="30">
        <v>45778</v>
      </c>
      <c r="D23" s="29" t="s">
        <v>68</v>
      </c>
      <c r="E23" s="31">
        <v>299390</v>
      </c>
      <c r="F23" s="29" t="s">
        <v>67</v>
      </c>
    </row>
    <row r="24" spans="1:6" x14ac:dyDescent="0.35">
      <c r="A24" s="29">
        <v>2025</v>
      </c>
      <c r="B24" s="29" t="s">
        <v>10</v>
      </c>
      <c r="C24" s="30">
        <v>45778</v>
      </c>
      <c r="D24" s="29" t="s">
        <v>69</v>
      </c>
      <c r="E24" s="31">
        <v>17580</v>
      </c>
      <c r="F24" s="29" t="s">
        <v>67</v>
      </c>
    </row>
    <row r="25" spans="1:6" x14ac:dyDescent="0.35">
      <c r="A25" s="29">
        <v>2025</v>
      </c>
      <c r="B25" s="29" t="s">
        <v>10</v>
      </c>
      <c r="C25" s="30">
        <v>45778</v>
      </c>
      <c r="D25" s="29" t="s">
        <v>35</v>
      </c>
      <c r="E25" s="31">
        <v>22684</v>
      </c>
      <c r="F25" s="29" t="s">
        <v>67</v>
      </c>
    </row>
    <row r="26" spans="1:6" x14ac:dyDescent="0.35">
      <c r="A26" s="29">
        <v>2025</v>
      </c>
      <c r="B26" s="29" t="s">
        <v>10</v>
      </c>
      <c r="C26" s="30">
        <v>45778</v>
      </c>
      <c r="D26" s="29" t="s">
        <v>36</v>
      </c>
      <c r="E26" s="31">
        <v>636071</v>
      </c>
      <c r="F26" s="29" t="s">
        <v>67</v>
      </c>
    </row>
    <row r="27" spans="1:6" x14ac:dyDescent="0.35">
      <c r="A27" s="29">
        <v>2025</v>
      </c>
      <c r="B27" s="29" t="s">
        <v>11</v>
      </c>
      <c r="C27" s="30">
        <v>45809</v>
      </c>
      <c r="D27" s="29" t="s">
        <v>32</v>
      </c>
      <c r="E27" s="31">
        <v>308928</v>
      </c>
      <c r="F27" s="29" t="s">
        <v>67</v>
      </c>
    </row>
    <row r="28" spans="1:6" x14ac:dyDescent="0.35">
      <c r="A28" s="29">
        <v>2025</v>
      </c>
      <c r="B28" s="29" t="s">
        <v>11</v>
      </c>
      <c r="C28" s="30">
        <v>45809</v>
      </c>
      <c r="D28" s="29" t="s">
        <v>68</v>
      </c>
      <c r="E28" s="31">
        <v>289025</v>
      </c>
      <c r="F28" s="29" t="s">
        <v>67</v>
      </c>
    </row>
    <row r="29" spans="1:6" x14ac:dyDescent="0.35">
      <c r="A29" s="29">
        <v>2025</v>
      </c>
      <c r="B29" s="29" t="s">
        <v>11</v>
      </c>
      <c r="C29" s="30">
        <v>45809</v>
      </c>
      <c r="D29" s="29" t="s">
        <v>69</v>
      </c>
      <c r="E29" s="31">
        <v>0</v>
      </c>
      <c r="F29" s="29" t="s">
        <v>67</v>
      </c>
    </row>
    <row r="30" spans="1:6" x14ac:dyDescent="0.35">
      <c r="A30" s="29">
        <v>2025</v>
      </c>
      <c r="B30" s="29" t="s">
        <v>11</v>
      </c>
      <c r="C30" s="30">
        <v>45809</v>
      </c>
      <c r="D30" s="29" t="s">
        <v>35</v>
      </c>
      <c r="E30" s="31">
        <v>40153</v>
      </c>
      <c r="F30" s="29" t="s">
        <v>67</v>
      </c>
    </row>
    <row r="31" spans="1:6" x14ac:dyDescent="0.35">
      <c r="A31" s="29">
        <v>2025</v>
      </c>
      <c r="B31" s="29" t="s">
        <v>11</v>
      </c>
      <c r="C31" s="30">
        <v>45809</v>
      </c>
      <c r="D31" s="29" t="s">
        <v>36</v>
      </c>
      <c r="E31" s="31">
        <v>562896</v>
      </c>
      <c r="F31" s="29" t="s">
        <v>67</v>
      </c>
    </row>
    <row r="32" spans="1:6" x14ac:dyDescent="0.35">
      <c r="A32" s="29">
        <v>2025</v>
      </c>
      <c r="B32" s="29" t="s">
        <v>12</v>
      </c>
      <c r="C32" s="30">
        <v>45839</v>
      </c>
      <c r="D32" s="29" t="s">
        <v>32</v>
      </c>
      <c r="E32" s="31">
        <v>536975</v>
      </c>
      <c r="F32" s="29" t="s">
        <v>67</v>
      </c>
    </row>
    <row r="33" spans="1:6" x14ac:dyDescent="0.35">
      <c r="A33" s="29">
        <v>2025</v>
      </c>
      <c r="B33" s="29" t="s">
        <v>12</v>
      </c>
      <c r="C33" s="30">
        <v>45839</v>
      </c>
      <c r="D33" s="29" t="s">
        <v>68</v>
      </c>
      <c r="E33" s="31">
        <v>282630</v>
      </c>
      <c r="F33" s="29" t="s">
        <v>67</v>
      </c>
    </row>
    <row r="34" spans="1:6" x14ac:dyDescent="0.35">
      <c r="A34" s="29">
        <v>2025</v>
      </c>
      <c r="B34" s="29" t="s">
        <v>12</v>
      </c>
      <c r="C34" s="30">
        <v>45839</v>
      </c>
      <c r="D34" s="29" t="s">
        <v>69</v>
      </c>
      <c r="E34" s="31">
        <v>0</v>
      </c>
      <c r="F34" s="29" t="s">
        <v>67</v>
      </c>
    </row>
    <row r="35" spans="1:6" x14ac:dyDescent="0.35">
      <c r="A35" s="29">
        <v>2025</v>
      </c>
      <c r="B35" s="29" t="s">
        <v>12</v>
      </c>
      <c r="C35" s="30">
        <v>45839</v>
      </c>
      <c r="D35" s="29" t="s">
        <v>35</v>
      </c>
      <c r="E35" s="31">
        <v>62246</v>
      </c>
      <c r="F35" s="29" t="s">
        <v>67</v>
      </c>
    </row>
    <row r="36" spans="1:6" x14ac:dyDescent="0.35">
      <c r="A36" s="29">
        <v>2025</v>
      </c>
      <c r="B36" s="29" t="s">
        <v>12</v>
      </c>
      <c r="C36" s="30">
        <v>45839</v>
      </c>
      <c r="D36" s="29" t="s">
        <v>36</v>
      </c>
      <c r="E36" s="31">
        <v>564687</v>
      </c>
      <c r="F36" s="29" t="s">
        <v>67</v>
      </c>
    </row>
    <row r="37" spans="1:6" x14ac:dyDescent="0.35">
      <c r="A37" s="29">
        <v>2025</v>
      </c>
      <c r="B37" s="29" t="s">
        <v>13</v>
      </c>
      <c r="C37" s="30">
        <v>45870</v>
      </c>
      <c r="D37" s="29" t="s">
        <v>32</v>
      </c>
      <c r="E37" s="31">
        <v>348570</v>
      </c>
      <c r="F37" s="29" t="s">
        <v>67</v>
      </c>
    </row>
    <row r="38" spans="1:6" x14ac:dyDescent="0.35">
      <c r="A38" s="29">
        <v>2025</v>
      </c>
      <c r="B38" s="29" t="s">
        <v>13</v>
      </c>
      <c r="C38" s="30">
        <v>45870</v>
      </c>
      <c r="D38" s="29" t="s">
        <v>68</v>
      </c>
      <c r="E38" s="31">
        <v>360350</v>
      </c>
      <c r="F38" s="29" t="s">
        <v>67</v>
      </c>
    </row>
    <row r="39" spans="1:6" x14ac:dyDescent="0.35">
      <c r="A39" s="29">
        <v>2025</v>
      </c>
      <c r="B39" s="29" t="s">
        <v>13</v>
      </c>
      <c r="C39" s="30">
        <v>45870</v>
      </c>
      <c r="D39" s="29" t="s">
        <v>69</v>
      </c>
      <c r="E39" s="31">
        <v>51804</v>
      </c>
      <c r="F39" s="29" t="s">
        <v>67</v>
      </c>
    </row>
    <row r="40" spans="1:6" x14ac:dyDescent="0.35">
      <c r="A40" s="29">
        <v>2025</v>
      </c>
      <c r="B40" s="29" t="s">
        <v>13</v>
      </c>
      <c r="C40" s="30">
        <v>45870</v>
      </c>
      <c r="D40" s="29" t="s">
        <v>35</v>
      </c>
      <c r="E40" s="31">
        <v>62060</v>
      </c>
      <c r="F40" s="29" t="s">
        <v>67</v>
      </c>
    </row>
    <row r="41" spans="1:6" x14ac:dyDescent="0.35">
      <c r="A41" s="29">
        <v>2025</v>
      </c>
      <c r="B41" s="29" t="s">
        <v>13</v>
      </c>
      <c r="C41" s="30">
        <v>45870</v>
      </c>
      <c r="D41" s="29" t="s">
        <v>36</v>
      </c>
      <c r="E41" s="31">
        <v>672412</v>
      </c>
      <c r="F41" s="29" t="s">
        <v>67</v>
      </c>
    </row>
    <row r="42" spans="1:6" x14ac:dyDescent="0.35">
      <c r="A42" s="29">
        <v>2025</v>
      </c>
      <c r="B42" s="29" t="s">
        <v>14</v>
      </c>
      <c r="C42" s="30">
        <v>45901</v>
      </c>
      <c r="D42" s="29" t="s">
        <v>32</v>
      </c>
      <c r="E42" s="31">
        <v>364533</v>
      </c>
      <c r="F42" s="29" t="s">
        <v>67</v>
      </c>
    </row>
    <row r="43" spans="1:6" x14ac:dyDescent="0.35">
      <c r="A43" s="29">
        <v>2025</v>
      </c>
      <c r="B43" s="29" t="s">
        <v>14</v>
      </c>
      <c r="C43" s="30">
        <v>45901</v>
      </c>
      <c r="D43" s="29" t="s">
        <v>68</v>
      </c>
      <c r="E43" s="31">
        <v>347520</v>
      </c>
      <c r="F43" s="29" t="s">
        <v>67</v>
      </c>
    </row>
    <row r="44" spans="1:6" x14ac:dyDescent="0.35">
      <c r="A44" s="29">
        <v>2025</v>
      </c>
      <c r="B44" s="29" t="s">
        <v>14</v>
      </c>
      <c r="C44" s="30">
        <v>45901</v>
      </c>
      <c r="D44" s="29" t="s">
        <v>69</v>
      </c>
      <c r="E44" s="31">
        <v>24444</v>
      </c>
      <c r="F44" s="29" t="s">
        <v>67</v>
      </c>
    </row>
    <row r="45" spans="1:6" x14ac:dyDescent="0.35">
      <c r="A45" s="29">
        <v>2025</v>
      </c>
      <c r="B45" s="29" t="s">
        <v>14</v>
      </c>
      <c r="C45" s="30">
        <v>45901</v>
      </c>
      <c r="D45" s="29" t="s">
        <v>35</v>
      </c>
      <c r="E45" s="31">
        <v>71192</v>
      </c>
      <c r="F45" s="29" t="s">
        <v>67</v>
      </c>
    </row>
    <row r="46" spans="1:6" x14ac:dyDescent="0.35">
      <c r="A46" s="29">
        <v>2025</v>
      </c>
      <c r="B46" s="29" t="s">
        <v>14</v>
      </c>
      <c r="C46" s="30">
        <v>45901</v>
      </c>
      <c r="D46" s="29" t="s">
        <v>36</v>
      </c>
      <c r="E46" s="31">
        <v>621577</v>
      </c>
      <c r="F46" s="29" t="s">
        <v>67</v>
      </c>
    </row>
    <row r="47" spans="1:6" x14ac:dyDescent="0.35">
      <c r="A47" s="29">
        <v>2025</v>
      </c>
      <c r="B47" s="29" t="s">
        <v>15</v>
      </c>
      <c r="C47" s="30">
        <v>45931</v>
      </c>
      <c r="D47" s="29" t="s">
        <v>32</v>
      </c>
      <c r="E47" s="31">
        <v>318007</v>
      </c>
      <c r="F47" s="29" t="s">
        <v>67</v>
      </c>
    </row>
    <row r="48" spans="1:6" x14ac:dyDescent="0.35">
      <c r="A48" s="29">
        <v>2025</v>
      </c>
      <c r="B48" s="29" t="s">
        <v>15</v>
      </c>
      <c r="C48" s="30">
        <v>45931</v>
      </c>
      <c r="D48" s="29" t="s">
        <v>68</v>
      </c>
      <c r="E48" s="31">
        <v>435980</v>
      </c>
      <c r="F48" s="29" t="s">
        <v>67</v>
      </c>
    </row>
    <row r="49" spans="1:6" x14ac:dyDescent="0.35">
      <c r="A49" s="29">
        <v>2025</v>
      </c>
      <c r="B49" s="29" t="s">
        <v>15</v>
      </c>
      <c r="C49" s="30">
        <v>45931</v>
      </c>
      <c r="D49" s="29" t="s">
        <v>69</v>
      </c>
      <c r="E49" s="31">
        <v>21097</v>
      </c>
      <c r="F49" s="29" t="s">
        <v>67</v>
      </c>
    </row>
    <row r="50" spans="1:6" x14ac:dyDescent="0.35">
      <c r="A50" s="29">
        <v>2025</v>
      </c>
      <c r="B50" s="29" t="s">
        <v>15</v>
      </c>
      <c r="C50" s="30">
        <v>45931</v>
      </c>
      <c r="D50" s="29" t="s">
        <v>35</v>
      </c>
      <c r="E50" s="31">
        <v>92908</v>
      </c>
      <c r="F50" s="29" t="s">
        <v>67</v>
      </c>
    </row>
    <row r="51" spans="1:6" x14ac:dyDescent="0.35">
      <c r="A51" s="29">
        <v>2025</v>
      </c>
      <c r="B51" s="29" t="s">
        <v>15</v>
      </c>
      <c r="C51" s="30">
        <v>45931</v>
      </c>
      <c r="D51" s="29" t="s">
        <v>36</v>
      </c>
      <c r="E51" s="31">
        <v>648348</v>
      </c>
      <c r="F51" s="29" t="s">
        <v>67</v>
      </c>
    </row>
    <row r="52" spans="1:6" x14ac:dyDescent="0.35">
      <c r="A52" s="29">
        <v>2025</v>
      </c>
      <c r="B52" s="29" t="s">
        <v>16</v>
      </c>
      <c r="C52" s="30">
        <v>45962</v>
      </c>
      <c r="D52" s="29" t="s">
        <v>32</v>
      </c>
      <c r="E52" s="31">
        <v>489557</v>
      </c>
      <c r="F52" s="29" t="s">
        <v>67</v>
      </c>
    </row>
    <row r="53" spans="1:6" x14ac:dyDescent="0.35">
      <c r="A53" s="29">
        <v>2025</v>
      </c>
      <c r="B53" s="29" t="s">
        <v>16</v>
      </c>
      <c r="C53" s="30">
        <v>45962</v>
      </c>
      <c r="D53" s="29" t="s">
        <v>68</v>
      </c>
      <c r="E53" s="31">
        <v>556334</v>
      </c>
      <c r="F53" s="29" t="s">
        <v>67</v>
      </c>
    </row>
    <row r="54" spans="1:6" x14ac:dyDescent="0.35">
      <c r="A54" s="29">
        <v>2025</v>
      </c>
      <c r="B54" s="29" t="s">
        <v>16</v>
      </c>
      <c r="C54" s="30">
        <v>45962</v>
      </c>
      <c r="D54" s="29" t="s">
        <v>69</v>
      </c>
      <c r="E54" s="31">
        <v>50653</v>
      </c>
      <c r="F54" s="29" t="s">
        <v>67</v>
      </c>
    </row>
    <row r="55" spans="1:6" x14ac:dyDescent="0.35">
      <c r="A55" s="29">
        <v>2025</v>
      </c>
      <c r="B55" s="29" t="s">
        <v>16</v>
      </c>
      <c r="C55" s="30">
        <v>45962</v>
      </c>
      <c r="D55" s="29" t="s">
        <v>35</v>
      </c>
      <c r="E55" s="31">
        <v>105971</v>
      </c>
      <c r="F55" s="29" t="s">
        <v>67</v>
      </c>
    </row>
    <row r="56" spans="1:6" x14ac:dyDescent="0.35">
      <c r="A56" s="29">
        <v>2025</v>
      </c>
      <c r="B56" s="29" t="s">
        <v>16</v>
      </c>
      <c r="C56" s="30">
        <v>45962</v>
      </c>
      <c r="D56" s="29" t="s">
        <v>36</v>
      </c>
      <c r="E56" s="31">
        <v>724882</v>
      </c>
      <c r="F56" s="29" t="s">
        <v>67</v>
      </c>
    </row>
    <row r="57" spans="1:6" x14ac:dyDescent="0.35">
      <c r="A57" s="29">
        <v>2025</v>
      </c>
      <c r="B57" s="29" t="s">
        <v>17</v>
      </c>
      <c r="C57" s="30">
        <v>45992</v>
      </c>
      <c r="D57" s="29" t="s">
        <v>32</v>
      </c>
      <c r="E57" s="31">
        <v>377140</v>
      </c>
      <c r="F57" s="29" t="s">
        <v>67</v>
      </c>
    </row>
    <row r="58" spans="1:6" x14ac:dyDescent="0.35">
      <c r="A58" s="29">
        <v>2025</v>
      </c>
      <c r="B58" s="29" t="s">
        <v>17</v>
      </c>
      <c r="C58" s="30">
        <v>45992</v>
      </c>
      <c r="D58" s="29" t="s">
        <v>68</v>
      </c>
      <c r="E58" s="31">
        <v>533990</v>
      </c>
      <c r="F58" s="29" t="s">
        <v>67</v>
      </c>
    </row>
    <row r="59" spans="1:6" x14ac:dyDescent="0.35">
      <c r="A59" s="29">
        <v>2025</v>
      </c>
      <c r="B59" s="29" t="s">
        <v>17</v>
      </c>
      <c r="C59" s="30">
        <v>45992</v>
      </c>
      <c r="D59" s="29" t="s">
        <v>69</v>
      </c>
      <c r="E59" s="31">
        <v>33456</v>
      </c>
      <c r="F59" s="29" t="s">
        <v>67</v>
      </c>
    </row>
    <row r="60" spans="1:6" x14ac:dyDescent="0.35">
      <c r="A60" s="29">
        <v>2025</v>
      </c>
      <c r="B60" s="29" t="s">
        <v>17</v>
      </c>
      <c r="C60" s="30">
        <v>45992</v>
      </c>
      <c r="D60" s="29" t="s">
        <v>35</v>
      </c>
      <c r="E60" s="31">
        <v>56998</v>
      </c>
      <c r="F60" s="29" t="s">
        <v>67</v>
      </c>
    </row>
    <row r="61" spans="1:6" x14ac:dyDescent="0.35">
      <c r="A61" s="29">
        <v>2025</v>
      </c>
      <c r="B61" s="29" t="s">
        <v>17</v>
      </c>
      <c r="C61" s="30">
        <v>45992</v>
      </c>
      <c r="D61" s="29" t="s">
        <v>36</v>
      </c>
      <c r="E61" s="31">
        <v>724882</v>
      </c>
      <c r="F61" s="29" t="s">
        <v>67</v>
      </c>
    </row>
    <row r="62" spans="1:6" x14ac:dyDescent="0.35">
      <c r="A62" s="29">
        <v>2026</v>
      </c>
      <c r="B62" s="29" t="s">
        <v>66</v>
      </c>
      <c r="C62" s="30">
        <v>46023</v>
      </c>
      <c r="D62" s="29" t="s">
        <v>32</v>
      </c>
      <c r="E62" s="31">
        <v>385670</v>
      </c>
      <c r="F62" s="29" t="s">
        <v>67</v>
      </c>
    </row>
    <row r="63" spans="1:6" x14ac:dyDescent="0.35">
      <c r="A63" s="29">
        <v>2026</v>
      </c>
      <c r="B63" s="29" t="s">
        <v>66</v>
      </c>
      <c r="C63" s="30">
        <v>46023</v>
      </c>
      <c r="D63" s="29" t="s">
        <v>68</v>
      </c>
      <c r="E63" s="31">
        <v>389190</v>
      </c>
      <c r="F63" s="29" t="s">
        <v>67</v>
      </c>
    </row>
    <row r="64" spans="1:6" x14ac:dyDescent="0.35">
      <c r="A64" s="29">
        <v>2026</v>
      </c>
      <c r="B64" s="29" t="s">
        <v>66</v>
      </c>
      <c r="C64" s="30">
        <v>46023</v>
      </c>
      <c r="D64" s="29" t="s">
        <v>69</v>
      </c>
      <c r="E64" s="31">
        <v>38998</v>
      </c>
      <c r="F64" s="29" t="s">
        <v>67</v>
      </c>
    </row>
    <row r="65" spans="1:6" x14ac:dyDescent="0.35">
      <c r="A65" s="29">
        <v>2026</v>
      </c>
      <c r="B65" s="29" t="s">
        <v>66</v>
      </c>
      <c r="C65" s="30">
        <v>46023</v>
      </c>
      <c r="D65" s="29" t="s">
        <v>35</v>
      </c>
      <c r="E65" s="31">
        <v>177376</v>
      </c>
      <c r="F65" s="29" t="s">
        <v>67</v>
      </c>
    </row>
    <row r="66" spans="1:6" x14ac:dyDescent="0.35">
      <c r="A66" s="29">
        <v>2026</v>
      </c>
      <c r="B66" s="29" t="s">
        <v>66</v>
      </c>
      <c r="C66" s="30">
        <v>46023</v>
      </c>
      <c r="D66" s="29" t="s">
        <v>36</v>
      </c>
      <c r="E66" s="31">
        <v>724141</v>
      </c>
      <c r="F66" s="29" t="s">
        <v>67</v>
      </c>
    </row>
    <row r="67" spans="1:6" x14ac:dyDescent="0.35">
      <c r="A67" s="29">
        <v>2026</v>
      </c>
      <c r="B67" s="29" t="s">
        <v>70</v>
      </c>
      <c r="C67" s="30">
        <v>46054</v>
      </c>
      <c r="D67" s="29" t="s">
        <v>32</v>
      </c>
      <c r="E67" s="31">
        <v>288408</v>
      </c>
      <c r="F67" s="29" t="s">
        <v>67</v>
      </c>
    </row>
    <row r="68" spans="1:6" x14ac:dyDescent="0.35">
      <c r="A68" s="29">
        <v>2026</v>
      </c>
      <c r="B68" s="29" t="s">
        <v>70</v>
      </c>
      <c r="C68" s="30">
        <v>46054</v>
      </c>
      <c r="D68" s="29" t="s">
        <v>68</v>
      </c>
      <c r="E68" s="31">
        <v>426930</v>
      </c>
      <c r="F68" s="29" t="s">
        <v>67</v>
      </c>
    </row>
    <row r="69" spans="1:6" x14ac:dyDescent="0.35">
      <c r="A69" s="29">
        <v>2026</v>
      </c>
      <c r="B69" s="29" t="s">
        <v>70</v>
      </c>
      <c r="C69" s="30">
        <v>46054</v>
      </c>
      <c r="D69" s="29" t="s">
        <v>69</v>
      </c>
      <c r="E69" s="31">
        <v>24626</v>
      </c>
      <c r="F69" s="29" t="s">
        <v>67</v>
      </c>
    </row>
    <row r="70" spans="1:6" x14ac:dyDescent="0.35">
      <c r="A70" s="29">
        <v>2026</v>
      </c>
      <c r="B70" s="29" t="s">
        <v>70</v>
      </c>
      <c r="C70" s="30">
        <v>46054</v>
      </c>
      <c r="D70" s="29" t="s">
        <v>35</v>
      </c>
      <c r="E70" s="31">
        <v>126217</v>
      </c>
      <c r="F70" s="29" t="s">
        <v>67</v>
      </c>
    </row>
    <row r="71" spans="1:6" x14ac:dyDescent="0.35">
      <c r="A71" s="29">
        <v>2026</v>
      </c>
      <c r="B71" s="29" t="s">
        <v>70</v>
      </c>
      <c r="C71" s="30">
        <v>46054</v>
      </c>
      <c r="D71" s="29" t="s">
        <v>36</v>
      </c>
      <c r="E71" s="31">
        <v>724141</v>
      </c>
      <c r="F71" s="29" t="s">
        <v>67</v>
      </c>
    </row>
    <row r="72" spans="1:6" x14ac:dyDescent="0.35">
      <c r="A72" s="29">
        <v>2026</v>
      </c>
      <c r="B72" s="29" t="s">
        <v>8</v>
      </c>
      <c r="C72" s="30">
        <v>46082</v>
      </c>
      <c r="D72" s="29" t="s">
        <v>32</v>
      </c>
      <c r="E72" s="31">
        <v>410517</v>
      </c>
      <c r="F72" s="29" t="s">
        <v>67</v>
      </c>
    </row>
    <row r="73" spans="1:6" x14ac:dyDescent="0.35">
      <c r="A73" s="29">
        <v>2026</v>
      </c>
      <c r="B73" s="29" t="s">
        <v>8</v>
      </c>
      <c r="C73" s="30">
        <v>46082</v>
      </c>
      <c r="D73" s="29" t="s">
        <v>68</v>
      </c>
      <c r="E73" s="31">
        <v>453710</v>
      </c>
      <c r="F73" s="29" t="s">
        <v>67</v>
      </c>
    </row>
    <row r="74" spans="1:6" x14ac:dyDescent="0.35">
      <c r="A74" s="29">
        <v>2026</v>
      </c>
      <c r="B74" s="29" t="s">
        <v>8</v>
      </c>
      <c r="C74" s="30">
        <v>46082</v>
      </c>
      <c r="D74" s="29" t="s">
        <v>69</v>
      </c>
      <c r="E74" s="31">
        <v>23400</v>
      </c>
      <c r="F74" s="29" t="s">
        <v>67</v>
      </c>
    </row>
    <row r="75" spans="1:6" x14ac:dyDescent="0.35">
      <c r="A75" s="29">
        <v>2026</v>
      </c>
      <c r="B75" s="29" t="s">
        <v>8</v>
      </c>
      <c r="C75" s="30">
        <v>46082</v>
      </c>
      <c r="D75" s="29" t="s">
        <v>35</v>
      </c>
      <c r="E75" s="31">
        <v>119459</v>
      </c>
      <c r="F75" s="29" t="s">
        <v>67</v>
      </c>
    </row>
    <row r="76" spans="1:6" x14ac:dyDescent="0.35">
      <c r="A76" s="29">
        <v>2026</v>
      </c>
      <c r="B76" s="29" t="s">
        <v>8</v>
      </c>
      <c r="C76" s="30">
        <v>46082</v>
      </c>
      <c r="D76" s="29" t="s">
        <v>36</v>
      </c>
      <c r="E76" s="31">
        <v>654232</v>
      </c>
      <c r="F76" s="29" t="s">
        <v>67</v>
      </c>
    </row>
    <row r="77" spans="1:6" x14ac:dyDescent="0.35">
      <c r="A77" s="29">
        <v>2026</v>
      </c>
      <c r="B77" s="29" t="s">
        <v>9</v>
      </c>
      <c r="C77" s="30">
        <v>46113</v>
      </c>
      <c r="D77" s="29" t="s">
        <v>32</v>
      </c>
      <c r="E77" s="31">
        <v>416772</v>
      </c>
      <c r="F77" s="29" t="s">
        <v>67</v>
      </c>
    </row>
    <row r="78" spans="1:6" x14ac:dyDescent="0.35">
      <c r="A78" s="29">
        <v>2026</v>
      </c>
      <c r="B78" s="29" t="s">
        <v>9</v>
      </c>
      <c r="C78" s="30">
        <v>46113</v>
      </c>
      <c r="D78" s="29" t="s">
        <v>68</v>
      </c>
      <c r="E78" s="31">
        <v>475950</v>
      </c>
      <c r="F78" s="29" t="s">
        <v>67</v>
      </c>
    </row>
    <row r="79" spans="1:6" x14ac:dyDescent="0.35">
      <c r="A79" s="29">
        <v>2026</v>
      </c>
      <c r="B79" s="29" t="s">
        <v>9</v>
      </c>
      <c r="C79" s="30">
        <v>46113</v>
      </c>
      <c r="D79" s="29" t="s">
        <v>69</v>
      </c>
      <c r="E79" s="31">
        <v>19749</v>
      </c>
      <c r="F79" s="29" t="s">
        <v>67</v>
      </c>
    </row>
    <row r="80" spans="1:6" x14ac:dyDescent="0.35">
      <c r="A80" s="29">
        <v>2026</v>
      </c>
      <c r="B80" s="29" t="s">
        <v>9</v>
      </c>
      <c r="C80" s="30">
        <v>46113</v>
      </c>
      <c r="D80" s="29" t="s">
        <v>35</v>
      </c>
      <c r="E80" s="31">
        <v>25939</v>
      </c>
      <c r="F80" s="29" t="s">
        <v>67</v>
      </c>
    </row>
    <row r="81" spans="1:6" x14ac:dyDescent="0.35">
      <c r="A81" s="29">
        <v>2026</v>
      </c>
      <c r="B81" s="29" t="s">
        <v>9</v>
      </c>
      <c r="C81" s="30">
        <v>46113</v>
      </c>
      <c r="D81" s="29" t="s">
        <v>36</v>
      </c>
      <c r="E81" s="31">
        <v>634668</v>
      </c>
      <c r="F81" s="29" t="s">
        <v>67</v>
      </c>
    </row>
    <row r="82" spans="1:6" x14ac:dyDescent="0.35">
      <c r="A82" s="29">
        <v>2026</v>
      </c>
      <c r="B82" s="29" t="s">
        <v>10</v>
      </c>
      <c r="C82" s="30">
        <v>46144</v>
      </c>
      <c r="D82" s="29" t="s">
        <v>32</v>
      </c>
      <c r="E82" s="31"/>
      <c r="F82" s="29" t="s">
        <v>67</v>
      </c>
    </row>
    <row r="83" spans="1:6" x14ac:dyDescent="0.35">
      <c r="A83" s="29">
        <v>2026</v>
      </c>
      <c r="B83" s="29" t="s">
        <v>10</v>
      </c>
      <c r="C83" s="30">
        <v>46144</v>
      </c>
      <c r="D83" s="29" t="s">
        <v>68</v>
      </c>
      <c r="E83" s="31"/>
      <c r="F83" s="29" t="s">
        <v>67</v>
      </c>
    </row>
    <row r="84" spans="1:6" x14ac:dyDescent="0.35">
      <c r="A84" s="29">
        <v>2026</v>
      </c>
      <c r="B84" s="29" t="s">
        <v>10</v>
      </c>
      <c r="C84" s="30">
        <v>46144</v>
      </c>
      <c r="D84" s="29" t="s">
        <v>69</v>
      </c>
      <c r="E84" s="31"/>
      <c r="F84" s="29" t="s">
        <v>67</v>
      </c>
    </row>
    <row r="85" spans="1:6" x14ac:dyDescent="0.35">
      <c r="A85" s="29">
        <v>2026</v>
      </c>
      <c r="B85" s="29" t="s">
        <v>10</v>
      </c>
      <c r="C85" s="30">
        <v>46144</v>
      </c>
      <c r="D85" s="29" t="s">
        <v>35</v>
      </c>
      <c r="E85" s="31"/>
      <c r="F85" s="29" t="s">
        <v>67</v>
      </c>
    </row>
    <row r="86" spans="1:6" x14ac:dyDescent="0.35">
      <c r="A86" s="29">
        <v>2026</v>
      </c>
      <c r="B86" s="29" t="s">
        <v>10</v>
      </c>
      <c r="C86" s="30">
        <v>46144</v>
      </c>
      <c r="D86" s="29" t="s">
        <v>36</v>
      </c>
      <c r="E86" s="31"/>
      <c r="F86" s="29" t="s">
        <v>67</v>
      </c>
    </row>
    <row r="87" spans="1:6" x14ac:dyDescent="0.35">
      <c r="A87" s="29">
        <v>2026</v>
      </c>
      <c r="B87" s="29" t="s">
        <v>11</v>
      </c>
      <c r="C87" s="30">
        <v>46180</v>
      </c>
      <c r="D87" s="29" t="s">
        <v>32</v>
      </c>
      <c r="E87" s="31"/>
      <c r="F87" s="29" t="s">
        <v>67</v>
      </c>
    </row>
    <row r="88" spans="1:6" x14ac:dyDescent="0.35">
      <c r="A88" s="29">
        <v>2026</v>
      </c>
      <c r="B88" s="29" t="s">
        <v>11</v>
      </c>
      <c r="C88" s="30">
        <v>46180</v>
      </c>
      <c r="D88" s="29" t="s">
        <v>68</v>
      </c>
      <c r="E88" s="31"/>
      <c r="F88" s="29" t="s">
        <v>67</v>
      </c>
    </row>
    <row r="89" spans="1:6" x14ac:dyDescent="0.35">
      <c r="A89" s="29">
        <v>2026</v>
      </c>
      <c r="B89" s="29" t="s">
        <v>11</v>
      </c>
      <c r="C89" s="30">
        <v>46180</v>
      </c>
      <c r="D89" s="29" t="s">
        <v>69</v>
      </c>
      <c r="E89" s="31"/>
      <c r="F89" s="29" t="s">
        <v>67</v>
      </c>
    </row>
    <row r="90" spans="1:6" x14ac:dyDescent="0.35">
      <c r="A90" s="29">
        <v>2026</v>
      </c>
      <c r="B90" s="29" t="s">
        <v>11</v>
      </c>
      <c r="C90" s="30">
        <v>46180</v>
      </c>
      <c r="D90" s="29" t="s">
        <v>35</v>
      </c>
      <c r="E90" s="31"/>
      <c r="F90" s="29" t="s">
        <v>67</v>
      </c>
    </row>
    <row r="91" spans="1:6" x14ac:dyDescent="0.35">
      <c r="A91" s="29">
        <v>2026</v>
      </c>
      <c r="B91" s="29" t="s">
        <v>11</v>
      </c>
      <c r="C91" s="30">
        <v>46180</v>
      </c>
      <c r="D91" s="29" t="s">
        <v>36</v>
      </c>
      <c r="E91" s="31"/>
      <c r="F91" s="29" t="s">
        <v>67</v>
      </c>
    </row>
    <row r="92" spans="1:6" x14ac:dyDescent="0.35">
      <c r="A92" s="29">
        <v>2026</v>
      </c>
      <c r="B92" s="29" t="s">
        <v>12</v>
      </c>
      <c r="C92" s="30">
        <v>46215</v>
      </c>
      <c r="D92" s="29" t="s">
        <v>32</v>
      </c>
      <c r="E92" s="31">
        <v>498311</v>
      </c>
      <c r="F92" s="29" t="s">
        <v>67</v>
      </c>
    </row>
    <row r="93" spans="1:6" x14ac:dyDescent="0.35">
      <c r="A93" s="29">
        <v>2026</v>
      </c>
      <c r="B93" s="29" t="s">
        <v>12</v>
      </c>
      <c r="C93" s="30">
        <v>46215</v>
      </c>
      <c r="D93" s="29" t="s">
        <v>68</v>
      </c>
      <c r="E93" s="31">
        <v>512878</v>
      </c>
      <c r="F93" s="29" t="s">
        <v>67</v>
      </c>
    </row>
    <row r="94" spans="1:6" x14ac:dyDescent="0.35">
      <c r="A94" s="29">
        <v>2026</v>
      </c>
      <c r="B94" s="29" t="s">
        <v>12</v>
      </c>
      <c r="C94" s="30">
        <v>46215</v>
      </c>
      <c r="D94" s="29" t="s">
        <v>69</v>
      </c>
      <c r="E94" s="31">
        <v>38679</v>
      </c>
      <c r="F94" s="29" t="s">
        <v>67</v>
      </c>
    </row>
    <row r="95" spans="1:6" x14ac:dyDescent="0.35">
      <c r="A95" s="29">
        <v>2026</v>
      </c>
      <c r="B95" s="29" t="s">
        <v>12</v>
      </c>
      <c r="C95" s="30">
        <v>46215</v>
      </c>
      <c r="D95" s="29" t="s">
        <v>35</v>
      </c>
      <c r="E95" s="31">
        <v>49721</v>
      </c>
      <c r="F95" s="29" t="s">
        <v>67</v>
      </c>
    </row>
    <row r="96" spans="1:6" x14ac:dyDescent="0.35">
      <c r="A96" s="29">
        <v>2026</v>
      </c>
      <c r="B96" s="29" t="s">
        <v>12</v>
      </c>
      <c r="C96" s="30">
        <v>46215</v>
      </c>
      <c r="D96" s="29" t="s">
        <v>36</v>
      </c>
      <c r="E96" s="31">
        <v>709205</v>
      </c>
      <c r="F96" s="29" t="s">
        <v>67</v>
      </c>
    </row>
    <row r="97" spans="1:8" x14ac:dyDescent="0.35">
      <c r="A97" s="29">
        <v>2026</v>
      </c>
      <c r="B97" s="29" t="s">
        <v>13</v>
      </c>
      <c r="C97" s="30">
        <v>46251</v>
      </c>
      <c r="D97" s="29" t="s">
        <v>32</v>
      </c>
      <c r="E97" s="31">
        <v>367760</v>
      </c>
      <c r="F97" s="29" t="s">
        <v>67</v>
      </c>
    </row>
    <row r="98" spans="1:8" x14ac:dyDescent="0.35">
      <c r="A98" s="29">
        <v>2026</v>
      </c>
      <c r="B98" s="29" t="s">
        <v>13</v>
      </c>
      <c r="C98" s="30">
        <v>46251</v>
      </c>
      <c r="D98" s="29" t="s">
        <v>68</v>
      </c>
      <c r="E98" s="31">
        <v>274414</v>
      </c>
      <c r="F98" s="29" t="s">
        <v>67</v>
      </c>
    </row>
    <row r="99" spans="1:8" x14ac:dyDescent="0.35">
      <c r="A99" s="29">
        <v>2026</v>
      </c>
      <c r="B99" s="29" t="s">
        <v>13</v>
      </c>
      <c r="C99" s="30">
        <v>46251</v>
      </c>
      <c r="D99" s="29" t="s">
        <v>69</v>
      </c>
      <c r="E99" s="31">
        <v>68577</v>
      </c>
      <c r="F99" s="29" t="s">
        <v>67</v>
      </c>
    </row>
    <row r="100" spans="1:8" x14ac:dyDescent="0.35">
      <c r="A100" s="29">
        <v>2026</v>
      </c>
      <c r="B100" s="29" t="s">
        <v>13</v>
      </c>
      <c r="C100" s="30">
        <v>46251</v>
      </c>
      <c r="D100" s="29" t="s">
        <v>35</v>
      </c>
      <c r="E100" s="31">
        <v>9794</v>
      </c>
      <c r="F100" s="29" t="s">
        <v>67</v>
      </c>
    </row>
    <row r="101" spans="1:8" x14ac:dyDescent="0.35">
      <c r="A101" s="29">
        <v>2026</v>
      </c>
      <c r="B101" s="29" t="s">
        <v>13</v>
      </c>
      <c r="C101" s="30">
        <v>46251</v>
      </c>
      <c r="D101" s="29" t="s">
        <v>36</v>
      </c>
      <c r="E101" s="31">
        <v>709205</v>
      </c>
      <c r="F101" s="29" t="s">
        <v>67</v>
      </c>
    </row>
    <row r="102" spans="1:8" x14ac:dyDescent="0.35">
      <c r="A102" s="29">
        <v>2026</v>
      </c>
      <c r="B102" s="29" t="s">
        <v>14</v>
      </c>
      <c r="C102" s="30">
        <v>46287</v>
      </c>
      <c r="D102" s="29" t="s">
        <v>32</v>
      </c>
      <c r="E102" s="31">
        <v>383587</v>
      </c>
      <c r="F102" s="29" t="s">
        <v>67</v>
      </c>
    </row>
    <row r="103" spans="1:8" x14ac:dyDescent="0.35">
      <c r="A103" s="29">
        <v>2026</v>
      </c>
      <c r="B103" s="29" t="s">
        <v>14</v>
      </c>
      <c r="C103" s="30">
        <v>46287</v>
      </c>
      <c r="D103" s="29" t="s">
        <v>68</v>
      </c>
      <c r="E103" s="31">
        <v>528098</v>
      </c>
      <c r="F103" s="29" t="s">
        <v>67</v>
      </c>
    </row>
    <row r="104" spans="1:8" x14ac:dyDescent="0.35">
      <c r="A104" s="29">
        <v>2026</v>
      </c>
      <c r="B104" s="29" t="s">
        <v>14</v>
      </c>
      <c r="C104" s="30">
        <v>46287</v>
      </c>
      <c r="D104" s="29" t="s">
        <v>69</v>
      </c>
      <c r="E104" s="31">
        <v>51741</v>
      </c>
      <c r="F104" s="29" t="s">
        <v>67</v>
      </c>
    </row>
    <row r="105" spans="1:8" x14ac:dyDescent="0.35">
      <c r="A105" s="29">
        <v>2026</v>
      </c>
      <c r="B105" s="29" t="s">
        <v>14</v>
      </c>
      <c r="C105" s="30">
        <v>46287</v>
      </c>
      <c r="D105" s="29" t="s">
        <v>35</v>
      </c>
      <c r="E105" s="31">
        <v>0</v>
      </c>
      <c r="F105" s="29" t="s">
        <v>67</v>
      </c>
    </row>
    <row r="106" spans="1:8" x14ac:dyDescent="0.35">
      <c r="A106" s="29">
        <v>2026</v>
      </c>
      <c r="B106" s="29" t="s">
        <v>14</v>
      </c>
      <c r="C106" s="30">
        <v>46287</v>
      </c>
      <c r="D106" s="29" t="s">
        <v>36</v>
      </c>
      <c r="E106" s="31">
        <v>763226</v>
      </c>
      <c r="F106" s="29" t="s">
        <v>67</v>
      </c>
    </row>
    <row r="107" spans="1:8" x14ac:dyDescent="0.35">
      <c r="A107" s="29">
        <v>2026</v>
      </c>
      <c r="B107" s="29" t="s">
        <v>15</v>
      </c>
      <c r="C107" s="30">
        <v>46322</v>
      </c>
      <c r="D107" s="29" t="s">
        <v>32</v>
      </c>
      <c r="E107" s="31">
        <v>424852</v>
      </c>
      <c r="F107" s="29" t="s">
        <v>67</v>
      </c>
      <c r="H107" s="53">
        <v>750000</v>
      </c>
    </row>
    <row r="108" spans="1:8" x14ac:dyDescent="0.35">
      <c r="A108" s="29">
        <v>2026</v>
      </c>
      <c r="B108" s="29" t="s">
        <v>15</v>
      </c>
      <c r="C108" s="30">
        <v>46322</v>
      </c>
      <c r="D108" s="29" t="s">
        <v>68</v>
      </c>
      <c r="E108" s="31">
        <v>505553</v>
      </c>
      <c r="F108" s="29" t="s">
        <v>67</v>
      </c>
    </row>
    <row r="109" spans="1:8" x14ac:dyDescent="0.35">
      <c r="A109" s="29">
        <v>2026</v>
      </c>
      <c r="B109" s="29" t="s">
        <v>15</v>
      </c>
      <c r="C109" s="30">
        <v>46322</v>
      </c>
      <c r="D109" s="29" t="s">
        <v>69</v>
      </c>
      <c r="E109" s="31">
        <v>56772</v>
      </c>
      <c r="F109" s="29" t="s">
        <v>67</v>
      </c>
    </row>
    <row r="110" spans="1:8" x14ac:dyDescent="0.35">
      <c r="A110" s="29">
        <v>2026</v>
      </c>
      <c r="B110" s="29" t="s">
        <v>15</v>
      </c>
      <c r="C110" s="30">
        <v>46322</v>
      </c>
      <c r="D110" s="29" t="s">
        <v>35</v>
      </c>
      <c r="E110" s="31">
        <v>101052</v>
      </c>
      <c r="F110" s="29" t="s">
        <v>67</v>
      </c>
    </row>
    <row r="111" spans="1:8" x14ac:dyDescent="0.35">
      <c r="A111" s="29">
        <v>2026</v>
      </c>
      <c r="B111" s="29" t="s">
        <v>15</v>
      </c>
      <c r="C111" s="30">
        <v>46322</v>
      </c>
      <c r="D111" s="29" t="s">
        <v>36</v>
      </c>
      <c r="E111" s="31">
        <v>763226</v>
      </c>
      <c r="F111" s="29" t="s">
        <v>67</v>
      </c>
    </row>
    <row r="112" spans="1:8" x14ac:dyDescent="0.35">
      <c r="A112" s="29">
        <v>2026</v>
      </c>
      <c r="B112" s="29"/>
      <c r="C112" s="30"/>
      <c r="D112" s="29"/>
      <c r="E112" s="31"/>
      <c r="F112" s="29" t="s">
        <v>67</v>
      </c>
    </row>
    <row r="113" spans="1:6" x14ac:dyDescent="0.35">
      <c r="A113" s="29">
        <v>2026</v>
      </c>
      <c r="B113" s="29"/>
      <c r="C113" s="30"/>
      <c r="D113" s="29"/>
      <c r="E113" s="31"/>
      <c r="F113" s="29" t="s">
        <v>67</v>
      </c>
    </row>
    <row r="114" spans="1:6" x14ac:dyDescent="0.35">
      <c r="A114" s="29">
        <v>2026</v>
      </c>
      <c r="B114" s="29"/>
      <c r="C114" s="30"/>
      <c r="D114" s="29"/>
      <c r="E114" s="31"/>
      <c r="F114" s="29" t="s">
        <v>67</v>
      </c>
    </row>
    <row r="115" spans="1:6" x14ac:dyDescent="0.35">
      <c r="A115" s="29">
        <v>2026</v>
      </c>
      <c r="B115" s="29"/>
      <c r="C115" s="30"/>
      <c r="D115" s="29"/>
      <c r="E115" s="31"/>
      <c r="F115" s="29" t="s">
        <v>67</v>
      </c>
    </row>
    <row r="116" spans="1:6" x14ac:dyDescent="0.35">
      <c r="A116" s="29">
        <v>2026</v>
      </c>
      <c r="B116" s="29"/>
      <c r="C116" s="30"/>
      <c r="D116" s="29"/>
      <c r="E116" s="31"/>
      <c r="F116" s="29" t="s">
        <v>67</v>
      </c>
    </row>
    <row r="117" spans="1:6" x14ac:dyDescent="0.35">
      <c r="A117" s="29">
        <v>2026</v>
      </c>
      <c r="B117" s="29"/>
      <c r="C117" s="30"/>
      <c r="D117" s="29"/>
      <c r="E117" s="31"/>
      <c r="F117" s="29" t="s">
        <v>67</v>
      </c>
    </row>
    <row r="118" spans="1:6" x14ac:dyDescent="0.35">
      <c r="A118" s="29">
        <v>2026</v>
      </c>
      <c r="B118" s="29"/>
      <c r="C118" s="30"/>
      <c r="D118" s="29"/>
      <c r="E118" s="31"/>
      <c r="F118" s="29" t="s">
        <v>67</v>
      </c>
    </row>
    <row r="119" spans="1:6" x14ac:dyDescent="0.35">
      <c r="A119" s="29">
        <v>2026</v>
      </c>
      <c r="B119" s="29"/>
      <c r="C119" s="30"/>
      <c r="D119" s="29"/>
      <c r="E119" s="31"/>
      <c r="F119" s="29" t="s">
        <v>67</v>
      </c>
    </row>
    <row r="120" spans="1:6" x14ac:dyDescent="0.35">
      <c r="A120" s="29">
        <v>2026</v>
      </c>
      <c r="B120" s="29"/>
      <c r="C120" s="30"/>
      <c r="D120" s="29"/>
      <c r="E120" s="31"/>
      <c r="F120" s="29" t="s">
        <v>67</v>
      </c>
    </row>
    <row r="121" spans="1:6" x14ac:dyDescent="0.35">
      <c r="A121" s="29">
        <v>2026</v>
      </c>
      <c r="B121" s="29"/>
      <c r="C121" s="30"/>
      <c r="D121" s="29"/>
      <c r="E121" s="31"/>
      <c r="F121" s="29" t="s">
        <v>67</v>
      </c>
    </row>
    <row r="122" spans="1:6" x14ac:dyDescent="0.35">
      <c r="A122" s="29">
        <v>2026</v>
      </c>
      <c r="B122" s="29"/>
      <c r="C122" s="30"/>
      <c r="D122" s="29"/>
      <c r="E122" s="31"/>
      <c r="F122" s="29" t="s">
        <v>67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2023-2024</vt:lpstr>
      <vt:lpstr>2025</vt:lpstr>
      <vt:lpstr>2026</vt:lpstr>
      <vt:lpstr>README_PowerBI</vt:lpstr>
      <vt:lpstr>Fact_Solped_PBI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GREZ TOLOZA</cp:lastModifiedBy>
  <dcterms:modified xsi:type="dcterms:W3CDTF">2026-10-15T19:00:35Z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2026-05-21T17:43:35Z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af876561-3138-4f5d-a6bc-9d7becb2415d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